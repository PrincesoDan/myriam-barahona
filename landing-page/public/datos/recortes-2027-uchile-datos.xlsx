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íneas" sheetId="1" state="visible" r:id="rId3"/>
    <sheet name="Bloques" sheetId="2" state="visible" r:id="rId4"/>
    <sheet name="Supuestos y fuentes" sheetId="3" state="visible" r:id="rId5"/>
  </sheets>
  <definedNames>
    <definedName function="false" hidden="true" localSheetId="0" name="_xlnm._FilterDatabase" vbProcedure="false">Líneas!$A$1:$R$49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<sst xmlns="http://schemas.openxmlformats.org/spreadsheetml/2006/main" count="466" uniqueCount="221">
  <si>
    <t xml:space="preserve">N°</t>
  </si>
  <si>
    <t xml:space="preserve">Bloque</t>
  </si>
  <si>
    <t xml:space="preserve">Categoría</t>
  </si>
  <si>
    <t xml:space="preserve">Línea</t>
  </si>
  <si>
    <t xml:space="preserve">Partida</t>
  </si>
  <si>
    <t xml:space="preserve">Ubicación</t>
  </si>
  <si>
    <t xml:space="preserve">Códigos 2027</t>
  </si>
  <si>
    <t xml:space="preserve">Ley 2026 (miles $)</t>
  </si>
  <si>
    <t xml:space="preserve">Vigente 2026 a agosto (miles $)</t>
  </si>
  <si>
    <t xml:space="preserve">Proyecto 2027 (miles $)</t>
  </si>
  <si>
    <t xml:space="preserve">Base DIPRES 2027 (miles $)</t>
  </si>
  <si>
    <t xml:space="preserve">Variación nominal</t>
  </si>
  <si>
    <t xml:space="preserve">Variación real</t>
  </si>
  <si>
    <t xml:space="preserve">Vs base DIPRES</t>
  </si>
  <si>
    <t xml:space="preserve">Veredicto</t>
  </si>
  <si>
    <t xml:space="preserve">Se suma en bloques</t>
  </si>
  <si>
    <t xml:space="preserve">Ley 2026 incluida en convenio U. de Chile</t>
  </si>
  <si>
    <t xml:space="preserve">Nota</t>
  </si>
  <si>
    <t xml:space="preserve">Directo</t>
  </si>
  <si>
    <t xml:space="preserve">Aporte «Universidad de Chile» (convenio de actividades de interés nacional)</t>
  </si>
  <si>
    <t xml:space="preserve">09</t>
  </si>
  <si>
    <t xml:space="preserve">Educación · Subs. Educación Superior · Fortalecimiento ES Pública · 24.03.203</t>
  </si>
  <si>
    <t xml:space="preserve">90.02.24.03.203</t>
  </si>
  <si>
    <t xml:space="preserve">Sí</t>
  </si>
  <si>
    <t xml:space="preserve">No</t>
  </si>
  <si>
    <t xml:space="preserve">En 2027 el riesgo sísmico (glosa 05) y el CEAC (glosa 06) salen a líneas propias. Aun sumando las tres líneas, el total cae (ver fila «Total transferencias MINEDUC»). Glosa 04 2027: mantiene los 530 cupos.</t>
  </si>
  <si>
    <t xml:space="preserve">Aporte al Programa de Medición de Riesgo Sísmico de la U. de Chile</t>
  </si>
  <si>
    <t xml:space="preserve">Educación · Fortalecimiento ES Pública · 24.03.205 (línea nueva)</t>
  </si>
  <si>
    <t xml:space="preserve">90.02.24.03.205</t>
  </si>
  <si>
    <t xml:space="preserve">2026: monto mínimo fijado en la glosa 04 de la línea «Universidad de Chile» (no era línea propia).</t>
  </si>
  <si>
    <t xml:space="preserve">Aporte al Centro de Extensión Artística y Cultural (CEAC) de la U. de Chile</t>
  </si>
  <si>
    <t xml:space="preserve">Educación · Fortalecimiento ES Pública · 24.03.206 (línea nueva)</t>
  </si>
  <si>
    <t xml:space="preserve">90.02.24.03.206</t>
  </si>
  <si>
    <t xml:space="preserve">2026: monto mínimo de la glosa 04 de «Universidad de Chile». 2027 (glosa 01 y 06): Cultura transfiere estos recursos a Educación y la Subsecretaría de Educación Superior los traspasa a la U. de Chile para el CEAC, la Orquesta Sinfónica Nacional, el Ballet Nacional y la Camerata Vocal.</t>
  </si>
  <si>
    <t xml:space="preserve">Cultura</t>
  </si>
  <si>
    <t xml:space="preserve">CEAC U. de Chile — aporte directo desde Cultura</t>
  </si>
  <si>
    <t xml:space="preserve">29</t>
  </si>
  <si>
    <t xml:space="preserve">Cultura · Subs. Culturas y Artes · Instituciones Colaboradoras · 24.03.127</t>
  </si>
  <si>
    <t xml:space="preserve">01.03.24.03.127</t>
  </si>
  <si>
    <t xml:space="preserve">Desaparece en el Proyecto 2027.</t>
  </si>
  <si>
    <t xml:space="preserve">Universidades Públicas Colaboradoras en el Acceso al Arte y la Cultura</t>
  </si>
  <si>
    <t xml:space="preserve">Cultura · Instituciones Colaboradoras · 24.02.005 (transferencia a MINEDUC)</t>
  </si>
  <si>
    <t xml:space="preserve">01.03.24.02.005</t>
  </si>
  <si>
    <t xml:space="preserve">Es la fuente de financiamiento del aporte CEAC en Educación: no se suma al total para no contar dos veces.</t>
  </si>
  <si>
    <t xml:space="preserve">Red Sismológica Nacional (convenio con la U. de Chile)</t>
  </si>
  <si>
    <t xml:space="preserve">05</t>
  </si>
  <si>
    <t xml:space="preserve">Interior · SENAPRED · 24.03.018 «Universidad de Chile - Red Sismológica»</t>
  </si>
  <si>
    <t xml:space="preserve">04.01.24.03.018</t>
  </si>
  <si>
    <t xml:space="preserve">Salud</t>
  </si>
  <si>
    <t xml:space="preserve">Ley N° 21.621 – Hospital Clínico Universidad de Chile</t>
  </si>
  <si>
    <t xml:space="preserve">16</t>
  </si>
  <si>
    <t xml:space="preserve">Salud · FONASA · Programa 01 · 24.03.411</t>
  </si>
  <si>
    <t xml:space="preserve">02.01.24.03.411</t>
  </si>
  <si>
    <t xml:space="preserve">Instituto de Nutrición y Tecnología de los Alimentos (INTA)</t>
  </si>
  <si>
    <t xml:space="preserve">Salud · Subs. Redes Asistenciales · 24.03.434</t>
  </si>
  <si>
    <t xml:space="preserve">10.01.24.03.434</t>
  </si>
  <si>
    <t xml:space="preserve">Equipamiento e infraestructura del Hospital Clínico (glosa)</t>
  </si>
  <si>
    <t xml:space="preserve">Salud · Subs. Redes Asistenciales · Inversión Sectorial de Salud · glosa 01</t>
  </si>
  <si>
    <t xml:space="preserve">(glosa)</t>
  </si>
  <si>
    <t xml:space="preserve">Tope «hasta» fijado en la glosa 01, igual en 2026 y 2027 (en términos reales, −2,8%). No se suma a los totales porque es un máximo dentro de otra línea.</t>
  </si>
  <si>
    <t xml:space="preserve">Institucional</t>
  </si>
  <si>
    <t xml:space="preserve">Aporte Fiscal Directo (Art. 2° DFL 4/1981) — universidades estatales</t>
  </si>
  <si>
    <t xml:space="preserve">Educación · Fortalecimiento ES Pública · 24.03.196</t>
  </si>
  <si>
    <t xml:space="preserve">90.02.24.03.196</t>
  </si>
  <si>
    <t xml:space="preserve">Aporte Institucional Universidades Estatales, Ley 21.094 (corriente + capital)</t>
  </si>
  <si>
    <t xml:space="preserve">Educación · Fortalecimiento ES Pública · 24.03.807 + 33.03.410</t>
  </si>
  <si>
    <t xml:space="preserve">90.02.24.03.807 + 90.02.33.03.410</t>
  </si>
  <si>
    <t xml:space="preserve">Plan de Fortalecimiento Universidades Estatales (corriente + infraestructura)</t>
  </si>
  <si>
    <t xml:space="preserve">Educación · Fortalecimiento ES Pública · 24.03.221 + 33.03.417</t>
  </si>
  <si>
    <t xml:space="preserve">90.02.24.03.221 + 90.02.33.03.417</t>
  </si>
  <si>
    <t xml:space="preserve">Ley N° 21.043 – Incentivo al retiro de académicos y profesionales</t>
  </si>
  <si>
    <t xml:space="preserve">Educación · Fortalecimiento ES Pública · 24.03.857</t>
  </si>
  <si>
    <t xml:space="preserve">90.02.24.03.857</t>
  </si>
  <si>
    <t xml:space="preserve">Aplicación Ley N° 20.374</t>
  </si>
  <si>
    <t xml:space="preserve">Educación · Fortalecimiento ES Pública · 24.03.208</t>
  </si>
  <si>
    <t xml:space="preserve">90.02.24.03.208</t>
  </si>
  <si>
    <t xml:space="preserve">Aplicación Ley N° 20.996</t>
  </si>
  <si>
    <t xml:space="preserve">Educación · Fortalecimiento ES Pública · 24.03.855</t>
  </si>
  <si>
    <t xml:space="preserve">90.02.24.03.855</t>
  </si>
  <si>
    <t xml:space="preserve">Fondo Desarrollo Institucional art. 1° DFL 4 (estatales)</t>
  </si>
  <si>
    <t xml:space="preserve">Educación · Fortalecimiento ES Pública · 24.03.202</t>
  </si>
  <si>
    <t xml:space="preserve">90.02.24.03.202</t>
  </si>
  <si>
    <t xml:space="preserve">Aplicación letra a) Art. 71 bis Ley N° 18.591 (estatales)</t>
  </si>
  <si>
    <t xml:space="preserve">Educación · Fortalecimiento ES Pública · 33.03.036</t>
  </si>
  <si>
    <t xml:space="preserve">90.02.33.03.036</t>
  </si>
  <si>
    <t xml:space="preserve">Aporte para el Desarrollo de Actividades de Interés Nacional (otras estatales)</t>
  </si>
  <si>
    <t xml:space="preserve">Educación · Fortalecimiento ES Pública · 24.03.858</t>
  </si>
  <si>
    <t xml:space="preserve">Financiamiento Institucional para la Gratuidad – Universidades</t>
  </si>
  <si>
    <t xml:space="preserve">Educación · Educación Superior · 24.03.198</t>
  </si>
  <si>
    <t xml:space="preserve">90.03.24.03.198</t>
  </si>
  <si>
    <t xml:space="preserve">Fondo de Desarrollo Institucional (corriente + infraestructura)</t>
  </si>
  <si>
    <t xml:space="preserve">Educación · Educación Superior · 24.03.802 + 33.01.401</t>
  </si>
  <si>
    <t xml:space="preserve">90.03.24.03.802 + 90.03.33.01.401</t>
  </si>
  <si>
    <t xml:space="preserve">Sistema de Acceso a la Educación Superior (Ley 21.091)</t>
  </si>
  <si>
    <t xml:space="preserve">Educación · Subs. Educación Superior · 24.09.007</t>
  </si>
  <si>
    <t xml:space="preserve">90.01.24.09.007</t>
  </si>
  <si>
    <t xml:space="preserve">Consejo de Rectores (CRUCH)</t>
  </si>
  <si>
    <t xml:space="preserve">Educación · Capítulo 13</t>
  </si>
  <si>
    <t xml:space="preserve">13</t>
  </si>
  <si>
    <t xml:space="preserve">Estudiantes</t>
  </si>
  <si>
    <t xml:space="preserve">Becas de Educación Superior (Bicentenario, Juan Gómez Millas, etc.)</t>
  </si>
  <si>
    <t xml:space="preserve">Educación · Educación Superior · 24.03.200</t>
  </si>
  <si>
    <t xml:space="preserve">90.03.24.03.200</t>
  </si>
  <si>
    <t xml:space="preserve">Becas de Mantención para Educación Superior (JUNAEB)</t>
  </si>
  <si>
    <t xml:space="preserve">Educación · JUNAEB · Becas y Asistencialidad · 24.01.252</t>
  </si>
  <si>
    <t xml:space="preserve">09.03.24.01.252</t>
  </si>
  <si>
    <t xml:space="preserve">Programa de Becas Indígenas (JUNAEB)</t>
  </si>
  <si>
    <t xml:space="preserve">Educación · JUNAEB · 24.01.189 + 24.09.189</t>
  </si>
  <si>
    <t xml:space="preserve">09.03.24.01.189 + 09.03.24.09.189</t>
  </si>
  <si>
    <t xml:space="preserve">Beca Presidente de la República (JUNAEB)</t>
  </si>
  <si>
    <t xml:space="preserve">Educación · JUNAEB · 24.01.250</t>
  </si>
  <si>
    <t xml:space="preserve">09.03.24.01.250</t>
  </si>
  <si>
    <t xml:space="preserve">Programa de Acceso a la Educación Superior (PACE)</t>
  </si>
  <si>
    <t xml:space="preserve">Educación · Educación Superior · 24.03.052</t>
  </si>
  <si>
    <t xml:space="preserve">90.03.24.03.052</t>
  </si>
  <si>
    <t xml:space="preserve">Recargo Aplicación Ley N° 20.027 (CAE)</t>
  </si>
  <si>
    <t xml:space="preserve">Educación · Educación Superior · 24.01.806</t>
  </si>
  <si>
    <t xml:space="preserve">90.03.24.01.806</t>
  </si>
  <si>
    <t xml:space="preserve">Aplicación Ley N° 20.634 (beneficios CAE)</t>
  </si>
  <si>
    <t xml:space="preserve">Educación · Educación Superior · 24.01.805</t>
  </si>
  <si>
    <t xml:space="preserve">90.03.24.01.805</t>
  </si>
  <si>
    <t xml:space="preserve">Apoyo a estudiantes de ES en situación de discapacidad (SENADIS)</t>
  </si>
  <si>
    <t xml:space="preserve">21</t>
  </si>
  <si>
    <t xml:space="preserve">Desarrollo Social · SENADIS · 24.01.001</t>
  </si>
  <si>
    <t xml:space="preserve">07.01.24.01.001</t>
  </si>
  <si>
    <t xml:space="preserve">Investigación</t>
  </si>
  <si>
    <t xml:space="preserve">FONDECYT</t>
  </si>
  <si>
    <t xml:space="preserve">30</t>
  </si>
  <si>
    <t xml:space="preserve">Ciencia · ANID · 24.01.160 + 24.03.160</t>
  </si>
  <si>
    <t xml:space="preserve">02.01.24.01.160 + 02.01.24.03.160</t>
  </si>
  <si>
    <t xml:space="preserve">FONDEF</t>
  </si>
  <si>
    <t xml:space="preserve">Ciencia · ANID · 24.01.161 + 24.03.161</t>
  </si>
  <si>
    <t xml:space="preserve">02.01.24.01.161 + 02.01.24.03.161</t>
  </si>
  <si>
    <t xml:space="preserve">Programa de Investigación Asociativa (PIA)</t>
  </si>
  <si>
    <t xml:space="preserve">Ciencia · ANID · 24.01.170 + 24.03.170</t>
  </si>
  <si>
    <t xml:space="preserve">02.01.24.01.170 + 02.01.24.03.170</t>
  </si>
  <si>
    <t xml:space="preserve">Centros de Investigación Aplicada</t>
  </si>
  <si>
    <t xml:space="preserve">Ciencia · ANID · 24.01.171 + 24.03.171</t>
  </si>
  <si>
    <t xml:space="preserve">02.01.24.01.171 + 02.01.24.03.171</t>
  </si>
  <si>
    <t xml:space="preserve">FONDAP (centros en áreas prioritarias)</t>
  </si>
  <si>
    <t xml:space="preserve">Ciencia · ANID · 24.01.326 + 24.03.326</t>
  </si>
  <si>
    <t xml:space="preserve">02.01.24.01.326 + 02.01.24.03.326</t>
  </si>
  <si>
    <t xml:space="preserve">Centros de Investigación de Interés Nacional</t>
  </si>
  <si>
    <t xml:space="preserve">Ciencia · ANID · 24.01.327 + 24.03.327</t>
  </si>
  <si>
    <t xml:space="preserve">02.01.24.01.327 + 02.01.24.03.327</t>
  </si>
  <si>
    <t xml:space="preserve">Becas Nacionales de Postgrado</t>
  </si>
  <si>
    <t xml:space="preserve">Ciencia · ANID · 24.01.221</t>
  </si>
  <si>
    <t xml:space="preserve">02.01.24.01.221</t>
  </si>
  <si>
    <t xml:space="preserve">Becas Chile</t>
  </si>
  <si>
    <t xml:space="preserve">Ciencia · ANID · 24.01.230</t>
  </si>
  <si>
    <t xml:space="preserve">02.01.24.01.230</t>
  </si>
  <si>
    <t xml:space="preserve">Acceso a la Información Electrónica para CyT (bases de datos científicas)</t>
  </si>
  <si>
    <t xml:space="preserve">Ciencia · ANID · 24.01.229 + 24.08.229</t>
  </si>
  <si>
    <t xml:space="preserve">02.01.24.01.229 + 02.01.24.08.229</t>
  </si>
  <si>
    <t xml:space="preserve">En 2027 la mayor parte se reclasifica a «Instituciones Privadas Ejecutoras de Políticas Públicas» (24.08); se suman ambas.</t>
  </si>
  <si>
    <t xml:space="preserve">FONDEQUIP (equipamiento científico)</t>
  </si>
  <si>
    <t xml:space="preserve">Ciencia · ANID · 33.01.002</t>
  </si>
  <si>
    <t xml:space="preserve">02.01.33.01.002</t>
  </si>
  <si>
    <t xml:space="preserve">Programa de Inserción de Investigadores</t>
  </si>
  <si>
    <t xml:space="preserve">Ciencia · ANID · 24.01.231 + 24.03.231</t>
  </si>
  <si>
    <t xml:space="preserve">02.01.24.01.231 + 02.01.24.03.231</t>
  </si>
  <si>
    <t xml:space="preserve">Iniciativa Científica Milenio</t>
  </si>
  <si>
    <t xml:space="preserve">Ciencia · Subs. CTCI · Fondo de Innovación, Ciencia y Tecnología · 24.02.018</t>
  </si>
  <si>
    <t xml:space="preserve">01.02.24.02.018</t>
  </si>
  <si>
    <t xml:space="preserve">Programa Financiamiento Estructural I+D+i Universitario</t>
  </si>
  <si>
    <t xml:space="preserve">Ciencia · ANID · Capacidades Tecnológicas · 24.01.200 + 24.03.200</t>
  </si>
  <si>
    <t xml:space="preserve">02.03.24.01.200 + 02.03.24.03.200</t>
  </si>
  <si>
    <t xml:space="preserve">Apoyo Innovación Educación Superior (INES)</t>
  </si>
  <si>
    <t xml:space="preserve">Ciencia · ANID · Capacidades Tecnológicas · 014 (corriente y capital)</t>
  </si>
  <si>
    <t xml:space="preserve">02.03.24.01.014 + 02.03.24.03.014 + 02.03.33.01.014 + 02.03.33.03.014</t>
  </si>
  <si>
    <t xml:space="preserve">Fomento a la Vinculación Academia–Industria</t>
  </si>
  <si>
    <t xml:space="preserve">Ciencia · ANID · Capacidades Tecnológicas · 125</t>
  </si>
  <si>
    <t xml:space="preserve">02.03.24.01.125 + 02.03.24.03.125</t>
  </si>
  <si>
    <t xml:space="preserve">Fomento a la Transferencia y Licenciamiento</t>
  </si>
  <si>
    <t xml:space="preserve">Ciencia · ANID · Capacidades Tecnológicas · 124</t>
  </si>
  <si>
    <t xml:space="preserve">02.03.24.01.124 + 02.03.24.03.124</t>
  </si>
  <si>
    <t xml:space="preserve">Innovación de Base Científica</t>
  </si>
  <si>
    <t xml:space="preserve">Ciencia · ANID · Capacidades Tecnológicas · 128</t>
  </si>
  <si>
    <t xml:space="preserve">02.03.24.01.128 + 02.03.24.03.128</t>
  </si>
  <si>
    <t xml:space="preserve">Cooperación Internacional (ANID)</t>
  </si>
  <si>
    <t xml:space="preserve">Ciencia · ANID · 24.01.223</t>
  </si>
  <si>
    <t xml:space="preserve">02.01.24.01.223</t>
  </si>
  <si>
    <t xml:space="preserve">Filas agregadas (referencia, no se suman en bloques)</t>
  </si>
  <si>
    <t xml:space="preserve">Total transferencias MINEDUC a la U. de Chile (203 + 205 + 206)</t>
  </si>
  <si>
    <t xml:space="preserve">Educación · Fortalecimiento ES Pública</t>
  </si>
  <si>
    <t xml:space="preserve">90.02.24.03.203 + 205 + 206</t>
  </si>
  <si>
    <t xml:space="preserve">Mismo perímetro en ambos años: en 2026 todo estaba en la línea 203.</t>
  </si>
  <si>
    <t xml:space="preserve">Convenio U. de Chile sin sísmico ni CEAC (actividades de interés nacional)</t>
  </si>
  <si>
    <t xml:space="preserve">2026: línea 203 menos los mínimos de glosa para riesgo sísmico ($437.471 miles) y CEAC ($3.606.692 miles).</t>
  </si>
  <si>
    <t xml:space="preserve">Directo (convenio MINEDUC, CEAC, Red Sismológica, Hospital Clínico, INTA)</t>
  </si>
  <si>
    <t xml:space="preserve">Institucional (universidades estatales y sistema)</t>
  </si>
  <si>
    <t xml:space="preserve">Estudiantes (becas, acceso y crédito)</t>
  </si>
  <si>
    <t xml:space="preserve">Investigación y postgrado (ANID, Milenio)</t>
  </si>
  <si>
    <t xml:space="preserve">Institucional sin gratuidad</t>
  </si>
  <si>
    <t xml:space="preserve">Sumas de la hoja «Líneas» con «Se suma en bloques» = Sí. Para Directo, la Ley 2026 de riesgo sísmico y CEAC no se suma porque en 2026 estaba dentro del convenio (columna Q).</t>
  </si>
  <si>
    <t xml:space="preserve">Recortes 2027 a la U. de Chile — datos de la sección «Recortes U. de Chile»</t>
  </si>
  <si>
    <t xml:space="preserve">Myriam Barahona · Senadora Universitaria · Actualizado al 7 de octubre de 2026</t>
  </si>
  <si>
    <t xml:space="preserve">Supuesto</t>
  </si>
  <si>
    <t xml:space="preserve">Valor</t>
  </si>
  <si>
    <t xml:space="preserve">Fuente / nota</t>
  </si>
  <si>
    <t xml:space="preserve">Inflactor 2027 (Ley 2026 → pesos de 2027)</t>
  </si>
  <si>
    <t xml:space="preserve">Inflactor 2,88% que DIPRES aplica en el Proyecto de Ley de Presupuestos 2027. Puedes cambiarlo: todas las variaciones reales se recalculan.</t>
  </si>
  <si>
    <t xml:space="preserve">Umbral «se mantiene» (± variación real)</t>
  </si>
  <si>
    <t xml:space="preserve">Entre −0,5% y +0,5% real la línea solo recibe el reajuste por inflación.</t>
  </si>
  <si>
    <t xml:space="preserve">Cómo leer</t>
  </si>
  <si>
    <t xml:space="preserve">• Montos en miles de pesos, como en las fuentes. Las celdas en azul son datos de entrada; las negras son fórmulas.</t>
  </si>
  <si>
    <t xml:space="preserve">• Variación nominal = Proyecto 2027 / Ley 2026 − 1.</t>
  </si>
  <si>
    <t xml:space="preserve">• Variación real = Proyecto 2027 / (Ley 2026 × inflactor) − 1. Negativa: la línea compra menos que en 2026.</t>
  </si>
  <si>
    <t xml:space="preserve">• Vs base DIPRES = Proyecto 2027 / base oficial − 1. La base es la Ley 2026 + reajuste y leyes especiales − recortes de 2026, en $ de 2027.</t>
  </si>
  <si>
    <t xml:space="preserve">• Vigente 2026: presupuesto con las modificaciones del año, a agosto de 2026.</t>
  </si>
  <si>
    <t xml:space="preserve">• Mismo perímetro: las líneas que en 2027 se dividen o cambian de código se suman (ver columna «Códigos 2027»).</t>
  </si>
  <si>
    <t xml:space="preserve">• Bloques sin doble conteo: no se suman las líneas marcadas «No» en «Se suma en bloques» (fuentes de otra línea y topes «hasta» de glosas).</t>
  </si>
  <si>
    <t xml:space="preserve">• Riesgo sísmico y CEAC: en 2026 estaban dentro del convenio «Universidad de Chile» (glosa 04); por eso su Ley 2026 no se suma en los bloques.</t>
  </si>
  <si>
    <t xml:space="preserve">• Fondos compartidos (institucional, estudiantes, investigación): el presupuesto fija el total nacional, no lo que recibe la U. de Chile.</t>
  </si>
  <si>
    <t xml:space="preserve">Fuentes</t>
  </si>
  <si>
    <t xml:space="preserve">Ley de Presupuestos 2026 (Ley N° 21.796), DIPRES</t>
  </si>
  <si>
    <t xml:space="preserve">https://www.dipres.gob.cl/597/w3-multipropertyvalues-15199-37782.html</t>
  </si>
  <si>
    <t xml:space="preserve">Proyecto de Ley de Presupuestos 2027 por programa y Cuadros Comparativos Analíticos 2026-2027, DIPRES</t>
  </si>
  <si>
    <t xml:space="preserve">https://www.dipres.gob.cl/597/w3-multipropertyvalues-15168-38403.html</t>
  </si>
  <si>
    <t xml:space="preserve">Análisis completo en la página de Myriam Barahona</t>
  </si>
  <si>
    <t xml:space="preserve">https://www.myriambarahona.cl/recortes-2027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</si>
</sst>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-0.0%;0.0%"/>
    <numFmt numFmtId="167" formatCode="0.0000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0F1845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845"/>
        <bgColor rgb="FF00008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8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8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ipres.gob.cl/597/w3-multipropertyvalues-15199-37782.html" TargetMode="External"/><Relationship Id="rId2" Type="http://schemas.openxmlformats.org/officeDocument/2006/relationships/hyperlink" Target="https://www.dipres.gob.cl/597/w3-multipropertyvalues-15168-38403.html" TargetMode="External"/><Relationship Id="rId3" Type="http://schemas.openxmlformats.org/officeDocument/2006/relationships/hyperlink" Target="https://www.myriambarahona.cl/recortes-20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3"/>
    <col collapsed="false" customWidth="true" hidden="false" outlineLevel="0" max="4" min="4" style="0" width="58"/>
    <col collapsed="false" customWidth="true" hidden="false" outlineLevel="0" max="5" min="5" style="0" width="8"/>
    <col collapsed="false" customWidth="true" hidden="false" outlineLevel="0" max="6" min="6" style="0" width="48"/>
    <col collapsed="false" customWidth="true" hidden="false" outlineLevel="0" max="7" min="7" style="0" width="30"/>
    <col collapsed="false" customWidth="true" hidden="false" outlineLevel="0" max="11" min="8" style="0" width="15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7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5.05" hidden="false" customHeight="false" outlineLevel="0" collapsed="false">
      <c r="A2" s="2" t="n">
        <v>1</v>
      </c>
      <c r="B2" s="2" t="s">
        <v>18</v>
      </c>
      <c r="C2" s="2" t="s">
        <v>18</v>
      </c>
      <c r="D2" s="3" t="s">
        <v>19</v>
      </c>
      <c r="E2" s="2" t="s">
        <v>20</v>
      </c>
      <c r="F2" s="3" t="s">
        <v>21</v>
      </c>
      <c r="G2" s="2" t="s">
        <v>22</v>
      </c>
      <c r="H2" s="4" t="n">
        <v>13537053</v>
      </c>
      <c r="I2" s="4" t="n">
        <v>14537053</v>
      </c>
      <c r="J2" s="4" t="n">
        <v>7869907</v>
      </c>
      <c r="K2" s="4" t="n">
        <v>13926920</v>
      </c>
      <c r="L2" s="5" t="n">
        <f aca="false">IF(OR(H2="",H2=0),"",J2/H2-1)</f>
        <v>-0.418639566528993</v>
      </c>
      <c r="M2" s="5" t="n">
        <f aca="false">IF(OR(H2="",H2=0),"",J2/(H2*'Supuestos y fuentes'!$B$5)-1)</f>
        <v>-0.43491404211605</v>
      </c>
      <c r="N2" s="5" t="n">
        <f aca="false">IF(OR(K2="",K2=0),"",J2/K2-1)</f>
        <v>-0.43491403698736</v>
      </c>
      <c r="O2" s="2" t="str">
        <f aca="false">IF(OR(H2="",H2=0),"Nuevo",IF(M2&lt;=-0.995,"Desaparece",IF(M2&lt;-'Supuestos y fuentes'!$B$6,"Baja",IF(M2&gt;'Supuestos y fuentes'!$B$6,"Sube","Se mantiene"))))</f>
        <v>Baja</v>
      </c>
      <c r="P2" s="2" t="s">
        <v>23</v>
      </c>
      <c r="Q2" s="2" t="s">
        <v>24</v>
      </c>
      <c r="R2" s="3" t="s">
        <v>25</v>
      </c>
    </row>
    <row r="3" customFormat="false" ht="23.85" hidden="false" customHeight="false" outlineLevel="0" collapsed="false">
      <c r="A3" s="2" t="n">
        <v>2</v>
      </c>
      <c r="B3" s="2" t="s">
        <v>18</v>
      </c>
      <c r="C3" s="2" t="s">
        <v>18</v>
      </c>
      <c r="D3" s="3" t="s">
        <v>26</v>
      </c>
      <c r="E3" s="2" t="s">
        <v>20</v>
      </c>
      <c r="F3" s="3" t="s">
        <v>27</v>
      </c>
      <c r="G3" s="2" t="s">
        <v>28</v>
      </c>
      <c r="H3" s="4" t="n">
        <v>437471</v>
      </c>
      <c r="I3" s="4"/>
      <c r="J3" s="4" t="n">
        <v>450070</v>
      </c>
      <c r="K3" s="4" t="n">
        <v>0</v>
      </c>
      <c r="L3" s="5" t="n">
        <f aca="false">IF(OR(H3="",H3=0),"",J3/H3-1)</f>
        <v>0.0287996232893151</v>
      </c>
      <c r="M3" s="5" t="n">
        <f aca="false">IF(OR(H3="",H3=0),"",J3/(H3*'Supuestos y fuentes'!$B$5)-1)</f>
        <v>-3.66165128995455E-007</v>
      </c>
      <c r="N3" s="5" t="str">
        <f aca="false">IF(OR(K3="",K3=0),"",J3/K3-1)</f>
        <v/>
      </c>
      <c r="O3" s="2" t="str">
        <f aca="false">IF(OR(H3="",H3=0),"Nuevo",IF(M3&lt;=-0.995,"Desaparece",IF(M3&lt;-'Supuestos y fuentes'!$B$6,"Baja",IF(M3&gt;'Supuestos y fuentes'!$B$6,"Sube","Se mantiene"))))</f>
        <v>Se mantiene</v>
      </c>
      <c r="P3" s="2" t="s">
        <v>23</v>
      </c>
      <c r="Q3" s="2" t="s">
        <v>23</v>
      </c>
      <c r="R3" s="3" t="s">
        <v>29</v>
      </c>
    </row>
    <row r="4" customFormat="false" ht="46.25" hidden="false" customHeight="false" outlineLevel="0" collapsed="false">
      <c r="A4" s="2" t="n">
        <v>3</v>
      </c>
      <c r="B4" s="2" t="s">
        <v>18</v>
      </c>
      <c r="C4" s="2" t="s">
        <v>18</v>
      </c>
      <c r="D4" s="3" t="s">
        <v>30</v>
      </c>
      <c r="E4" s="2" t="s">
        <v>20</v>
      </c>
      <c r="F4" s="3" t="s">
        <v>31</v>
      </c>
      <c r="G4" s="2" t="s">
        <v>32</v>
      </c>
      <c r="H4" s="4" t="n">
        <v>3606692</v>
      </c>
      <c r="I4" s="4"/>
      <c r="J4" s="4" t="n">
        <v>3710565</v>
      </c>
      <c r="K4" s="4" t="n">
        <v>0</v>
      </c>
      <c r="L4" s="5" t="n">
        <f aca="false">IF(OR(H4="",H4=0),"",J4/H4-1)</f>
        <v>0.028800074971747</v>
      </c>
      <c r="M4" s="5" t="n">
        <f aca="false">IF(OR(H4="",H4=0),"",J4/(H4*'Supuestos y fuentes'!$B$5)-1)</f>
        <v>7.28730045196357E-008</v>
      </c>
      <c r="N4" s="5" t="str">
        <f aca="false">IF(OR(K4="",K4=0),"",J4/K4-1)</f>
        <v/>
      </c>
      <c r="O4" s="2" t="str">
        <f aca="false">IF(OR(H4="",H4=0),"Nuevo",IF(M4&lt;=-0.995,"Desaparece",IF(M4&lt;-'Supuestos y fuentes'!$B$6,"Baja",IF(M4&gt;'Supuestos y fuentes'!$B$6,"Sube","Se mantiene"))))</f>
        <v>Se mantiene</v>
      </c>
      <c r="P4" s="2" t="s">
        <v>23</v>
      </c>
      <c r="Q4" s="2" t="s">
        <v>23</v>
      </c>
      <c r="R4" s="3" t="s">
        <v>33</v>
      </c>
    </row>
    <row r="5" customFormat="false" ht="23.85" hidden="false" customHeight="false" outlineLevel="0" collapsed="false">
      <c r="A5" s="2" t="n">
        <v>4</v>
      </c>
      <c r="B5" s="2" t="s">
        <v>18</v>
      </c>
      <c r="C5" s="2" t="s">
        <v>34</v>
      </c>
      <c r="D5" s="3" t="s">
        <v>35</v>
      </c>
      <c r="E5" s="2" t="s">
        <v>36</v>
      </c>
      <c r="F5" s="3" t="s">
        <v>37</v>
      </c>
      <c r="G5" s="2" t="s">
        <v>38</v>
      </c>
      <c r="H5" s="4" t="n">
        <v>2165100</v>
      </c>
      <c r="I5" s="4" t="n">
        <v>2100141</v>
      </c>
      <c r="J5" s="4" t="n">
        <v>0</v>
      </c>
      <c r="K5" s="4" t="n">
        <v>2160625</v>
      </c>
      <c r="L5" s="5" t="n">
        <f aca="false">IF(OR(H5="",H5=0),"",J5/H5-1)</f>
        <v>-1</v>
      </c>
      <c r="M5" s="5" t="n">
        <f aca="false">IF(OR(H5="",H5=0),"",J5/(H5*'Supuestos y fuentes'!$B$5)-1)</f>
        <v>-1</v>
      </c>
      <c r="N5" s="5" t="n">
        <f aca="false">IF(OR(K5="",K5=0),"",J5/K5-1)</f>
        <v>-1</v>
      </c>
      <c r="O5" s="2" t="str">
        <f aca="false">IF(OR(H5="",H5=0),"Nuevo",IF(M5&lt;=-0.995,"Desaparece",IF(M5&lt;-'Supuestos y fuentes'!$B$6,"Baja",IF(M5&gt;'Supuestos y fuentes'!$B$6,"Sube","Se mantiene"))))</f>
        <v>Desaparece</v>
      </c>
      <c r="P5" s="2" t="s">
        <v>23</v>
      </c>
      <c r="Q5" s="2" t="s">
        <v>24</v>
      </c>
      <c r="R5" s="3" t="s">
        <v>39</v>
      </c>
    </row>
    <row r="6" customFormat="false" ht="23.85" hidden="false" customHeight="false" outlineLevel="0" collapsed="false">
      <c r="A6" s="2" t="n">
        <v>5</v>
      </c>
      <c r="B6" s="2" t="s">
        <v>18</v>
      </c>
      <c r="C6" s="2" t="s">
        <v>34</v>
      </c>
      <c r="D6" s="3" t="s">
        <v>40</v>
      </c>
      <c r="E6" s="2" t="s">
        <v>36</v>
      </c>
      <c r="F6" s="3" t="s">
        <v>41</v>
      </c>
      <c r="G6" s="2" t="s">
        <v>42</v>
      </c>
      <c r="H6" s="4" t="n">
        <v>5870739</v>
      </c>
      <c r="I6" s="4" t="n">
        <v>4594569</v>
      </c>
      <c r="J6" s="4" t="n">
        <v>3710565</v>
      </c>
      <c r="K6" s="4" t="n">
        <v>4726893</v>
      </c>
      <c r="L6" s="5" t="n">
        <f aca="false">IF(OR(H6="",H6=0),"",J6/H6-1)</f>
        <v>-0.367956061408964</v>
      </c>
      <c r="M6" s="5" t="n">
        <f aca="false">IF(OR(H6="",H6=0),"",J6/(H6*'Supuestos y fuentes'!$B$5)-1)</f>
        <v>-0.385649359845416</v>
      </c>
      <c r="N6" s="5" t="n">
        <f aca="false">IF(OR(K6="",K6=0),"",J6/K6-1)</f>
        <v>-0.215009732608714</v>
      </c>
      <c r="O6" s="2" t="str">
        <f aca="false">IF(OR(H6="",H6=0),"Nuevo",IF(M6&lt;=-0.995,"Desaparece",IF(M6&lt;-'Supuestos y fuentes'!$B$6,"Baja",IF(M6&gt;'Supuestos y fuentes'!$B$6,"Sube","Se mantiene"))))</f>
        <v>Baja</v>
      </c>
      <c r="P6" s="2" t="s">
        <v>24</v>
      </c>
      <c r="Q6" s="2" t="s">
        <v>24</v>
      </c>
      <c r="R6" s="3" t="s">
        <v>43</v>
      </c>
    </row>
    <row r="7" customFormat="false" ht="23.85" hidden="false" customHeight="false" outlineLevel="0" collapsed="false">
      <c r="A7" s="2" t="n">
        <v>6</v>
      </c>
      <c r="B7" s="2" t="s">
        <v>18</v>
      </c>
      <c r="C7" s="2" t="s">
        <v>18</v>
      </c>
      <c r="D7" s="3" t="s">
        <v>44</v>
      </c>
      <c r="E7" s="2" t="s">
        <v>45</v>
      </c>
      <c r="F7" s="3" t="s">
        <v>46</v>
      </c>
      <c r="G7" s="2" t="s">
        <v>47</v>
      </c>
      <c r="H7" s="4" t="n">
        <v>3228426</v>
      </c>
      <c r="I7" s="4" t="n">
        <v>3228426</v>
      </c>
      <c r="J7" s="4" t="n">
        <v>3321405</v>
      </c>
      <c r="K7" s="4" t="n">
        <v>3321405</v>
      </c>
      <c r="L7" s="5" t="n">
        <f aca="false">IF(OR(H7="",H7=0),"",J7/H7-1)</f>
        <v>0.0288001025886919</v>
      </c>
      <c r="M7" s="5" t="n">
        <f aca="false">IF(OR(H7="",H7=0),"",J7/(H7*'Supuestos y fuentes'!$B$5)-1)</f>
        <v>9.97168467797849E-008</v>
      </c>
      <c r="N7" s="5" t="n">
        <f aca="false">IF(OR(K7="",K7=0),"",J7/K7-1)</f>
        <v>0</v>
      </c>
      <c r="O7" s="2" t="str">
        <f aca="false">IF(OR(H7="",H7=0),"Nuevo",IF(M7&lt;=-0.995,"Desaparece",IF(M7&lt;-'Supuestos y fuentes'!$B$6,"Baja",IF(M7&gt;'Supuestos y fuentes'!$B$6,"Sube","Se mantiene"))))</f>
        <v>Se mantiene</v>
      </c>
      <c r="P7" s="2" t="s">
        <v>23</v>
      </c>
      <c r="Q7" s="2" t="s">
        <v>24</v>
      </c>
      <c r="R7" s="3"/>
    </row>
    <row r="8" customFormat="false" ht="15" hidden="false" customHeight="false" outlineLevel="0" collapsed="false">
      <c r="A8" s="2" t="n">
        <v>7</v>
      </c>
      <c r="B8" s="2" t="s">
        <v>18</v>
      </c>
      <c r="C8" s="2" t="s">
        <v>48</v>
      </c>
      <c r="D8" s="3" t="s">
        <v>49</v>
      </c>
      <c r="E8" s="2" t="s">
        <v>50</v>
      </c>
      <c r="F8" s="3" t="s">
        <v>51</v>
      </c>
      <c r="G8" s="2" t="s">
        <v>52</v>
      </c>
      <c r="H8" s="4" t="n">
        <v>24766279</v>
      </c>
      <c r="I8" s="4" t="n">
        <v>40598445</v>
      </c>
      <c r="J8" s="4" t="n">
        <v>25479548</v>
      </c>
      <c r="K8" s="4" t="n">
        <v>25479548</v>
      </c>
      <c r="L8" s="5" t="n">
        <f aca="false">IF(OR(H8="",H8=0),"",J8/H8-1)</f>
        <v>0.0288000066542091</v>
      </c>
      <c r="M8" s="5" t="n">
        <f aca="false">IF(OR(H8="",H8=0),"",J8/(H8*'Supuestos y fuentes'!$B$5)-1)</f>
        <v>6.46793285596914E-009</v>
      </c>
      <c r="N8" s="5" t="n">
        <f aca="false">IF(OR(K8="",K8=0),"",J8/K8-1)</f>
        <v>0</v>
      </c>
      <c r="O8" s="2" t="str">
        <f aca="false">IF(OR(H8="",H8=0),"Nuevo",IF(M8&lt;=-0.995,"Desaparece",IF(M8&lt;-'Supuestos y fuentes'!$B$6,"Baja",IF(M8&gt;'Supuestos y fuentes'!$B$6,"Sube","Se mantiene"))))</f>
        <v>Se mantiene</v>
      </c>
      <c r="P8" s="2" t="s">
        <v>23</v>
      </c>
      <c r="Q8" s="2" t="s">
        <v>24</v>
      </c>
      <c r="R8" s="3"/>
    </row>
    <row r="9" customFormat="false" ht="15" hidden="false" customHeight="false" outlineLevel="0" collapsed="false">
      <c r="A9" s="2" t="n">
        <v>8</v>
      </c>
      <c r="B9" s="2" t="s">
        <v>18</v>
      </c>
      <c r="C9" s="2" t="s">
        <v>48</v>
      </c>
      <c r="D9" s="3" t="s">
        <v>53</v>
      </c>
      <c r="E9" s="2" t="s">
        <v>50</v>
      </c>
      <c r="F9" s="3" t="s">
        <v>54</v>
      </c>
      <c r="G9" s="2" t="s">
        <v>55</v>
      </c>
      <c r="H9" s="4" t="n">
        <v>560864</v>
      </c>
      <c r="I9" s="4" t="n">
        <v>1104864</v>
      </c>
      <c r="J9" s="4" t="n">
        <v>577017</v>
      </c>
      <c r="K9" s="4" t="n">
        <v>577017</v>
      </c>
      <c r="L9" s="5" t="n">
        <f aca="false">IF(OR(H9="",H9=0),"",J9/H9-1)</f>
        <v>0.0288002082501284</v>
      </c>
      <c r="M9" s="5" t="n">
        <f aca="false">IF(OR(H9="",H9=0),"",J9/(H9*'Supuestos y fuentes'!$B$5)-1)</f>
        <v>2.02420420425398E-007</v>
      </c>
      <c r="N9" s="5" t="n">
        <f aca="false">IF(OR(K9="",K9=0),"",J9/K9-1)</f>
        <v>0</v>
      </c>
      <c r="O9" s="2" t="str">
        <f aca="false">IF(OR(H9="",H9=0),"Nuevo",IF(M9&lt;=-0.995,"Desaparece",IF(M9&lt;-'Supuestos y fuentes'!$B$6,"Baja",IF(M9&gt;'Supuestos y fuentes'!$B$6,"Sube","Se mantiene"))))</f>
        <v>Se mantiene</v>
      </c>
      <c r="P9" s="2" t="s">
        <v>23</v>
      </c>
      <c r="Q9" s="2" t="s">
        <v>24</v>
      </c>
      <c r="R9" s="3"/>
    </row>
    <row r="10" customFormat="false" ht="23.85" hidden="false" customHeight="false" outlineLevel="0" collapsed="false">
      <c r="A10" s="2" t="n">
        <v>9</v>
      </c>
      <c r="B10" s="2" t="s">
        <v>18</v>
      </c>
      <c r="C10" s="2" t="s">
        <v>48</v>
      </c>
      <c r="D10" s="3" t="s">
        <v>56</v>
      </c>
      <c r="E10" s="2" t="s">
        <v>50</v>
      </c>
      <c r="F10" s="3" t="s">
        <v>57</v>
      </c>
      <c r="G10" s="2" t="s">
        <v>58</v>
      </c>
      <c r="H10" s="4" t="n">
        <v>6200000</v>
      </c>
      <c r="I10" s="4"/>
      <c r="J10" s="4" t="n">
        <v>6200000</v>
      </c>
      <c r="K10" s="4"/>
      <c r="L10" s="5" t="n">
        <f aca="false">IF(OR(H10="",H10=0),"",J10/H10-1)</f>
        <v>0</v>
      </c>
      <c r="M10" s="5" t="n">
        <f aca="false">IF(OR(H10="",H10=0),"",J10/(H10*'Supuestos y fuentes'!$B$5)-1)</f>
        <v>-0.0279937791601866</v>
      </c>
      <c r="N10" s="5" t="str">
        <f aca="false">IF(OR(K10="",K10=0),"",J10/K10-1)</f>
        <v/>
      </c>
      <c r="O10" s="2" t="str">
        <f aca="false">IF(OR(H10="",H10=0),"Nuevo",IF(M10&lt;=-0.995,"Desaparece",IF(M10&lt;-'Supuestos y fuentes'!$B$6,"Baja",IF(M10&gt;'Supuestos y fuentes'!$B$6,"Sube","Se mantiene"))))</f>
        <v>Baja</v>
      </c>
      <c r="P10" s="2" t="s">
        <v>24</v>
      </c>
      <c r="Q10" s="2" t="s">
        <v>24</v>
      </c>
      <c r="R10" s="3" t="s">
        <v>59</v>
      </c>
    </row>
    <row r="11" customFormat="false" ht="15" hidden="false" customHeight="false" outlineLevel="0" collapsed="false">
      <c r="A11" s="2" t="n">
        <v>10</v>
      </c>
      <c r="B11" s="2" t="s">
        <v>60</v>
      </c>
      <c r="C11" s="2" t="s">
        <v>60</v>
      </c>
      <c r="D11" s="3" t="s">
        <v>61</v>
      </c>
      <c r="E11" s="2" t="s">
        <v>20</v>
      </c>
      <c r="F11" s="3" t="s">
        <v>62</v>
      </c>
      <c r="G11" s="2" t="s">
        <v>63</v>
      </c>
      <c r="H11" s="4" t="n">
        <v>182424894</v>
      </c>
      <c r="I11" s="4" t="n">
        <v>184386151</v>
      </c>
      <c r="J11" s="4" t="n">
        <v>182048369</v>
      </c>
      <c r="K11" s="4" t="n">
        <v>187678731</v>
      </c>
      <c r="L11" s="5" t="n">
        <f aca="false">IF(OR(H11="",H11=0),"",J11/H11-1)</f>
        <v>-0.00206400010296837</v>
      </c>
      <c r="M11" s="5" t="n">
        <f aca="false">IF(OR(H11="",H11=0),"",J11/(H11*'Supuestos y fuentes'!$B$5)-1)</f>
        <v>-0.030000000100086</v>
      </c>
      <c r="N11" s="5" t="n">
        <f aca="false">IF(OR(K11="",K11=0),"",J11/K11-1)</f>
        <v>-0.0300000003729778</v>
      </c>
      <c r="O11" s="2" t="str">
        <f aca="false">IF(OR(H11="",H11=0),"Nuevo",IF(M11&lt;=-0.995,"Desaparece",IF(M11&lt;-'Supuestos y fuentes'!$B$6,"Baja",IF(M11&gt;'Supuestos y fuentes'!$B$6,"Sube","Se mantiene"))))</f>
        <v>Baja</v>
      </c>
      <c r="P11" s="2" t="s">
        <v>23</v>
      </c>
      <c r="Q11" s="2" t="s">
        <v>24</v>
      </c>
      <c r="R11" s="3"/>
    </row>
    <row r="12" customFormat="false" ht="23.85" hidden="false" customHeight="false" outlineLevel="0" collapsed="false">
      <c r="A12" s="2" t="n">
        <v>11</v>
      </c>
      <c r="B12" s="2" t="s">
        <v>60</v>
      </c>
      <c r="C12" s="2" t="s">
        <v>60</v>
      </c>
      <c r="D12" s="3" t="s">
        <v>64</v>
      </c>
      <c r="E12" s="2" t="s">
        <v>20</v>
      </c>
      <c r="F12" s="3" t="s">
        <v>65</v>
      </c>
      <c r="G12" s="2" t="s">
        <v>66</v>
      </c>
      <c r="H12" s="4" t="n">
        <v>113365900</v>
      </c>
      <c r="I12" s="4" t="n">
        <v>112365900</v>
      </c>
      <c r="J12" s="4" t="n">
        <v>102417508</v>
      </c>
      <c r="K12" s="4" t="n">
        <v>115602037</v>
      </c>
      <c r="L12" s="5" t="n">
        <f aca="false">IF(OR(H12="",H12=0),"",J12/H12-1)</f>
        <v>-0.0965757075099303</v>
      </c>
      <c r="M12" s="5" t="n">
        <f aca="false">IF(OR(H12="",H12=0),"",J12/(H12*'Supuestos y fuentes'!$B$5)-1)</f>
        <v>-0.121865967641845</v>
      </c>
      <c r="N12" s="5" t="n">
        <f aca="false">IF(OR(K12="",K12=0),"",J12/K12-1)</f>
        <v>-0.114051009326073</v>
      </c>
      <c r="O12" s="2" t="str">
        <f aca="false">IF(OR(H12="",H12=0),"Nuevo",IF(M12&lt;=-0.995,"Desaparece",IF(M12&lt;-'Supuestos y fuentes'!$B$6,"Baja",IF(M12&gt;'Supuestos y fuentes'!$B$6,"Sube","Se mantiene"))))</f>
        <v>Baja</v>
      </c>
      <c r="P12" s="2" t="s">
        <v>23</v>
      </c>
      <c r="Q12" s="2" t="s">
        <v>24</v>
      </c>
      <c r="R12" s="3"/>
    </row>
    <row r="13" customFormat="false" ht="23.85" hidden="false" customHeight="false" outlineLevel="0" collapsed="false">
      <c r="A13" s="2" t="n">
        <v>12</v>
      </c>
      <c r="B13" s="2" t="s">
        <v>60</v>
      </c>
      <c r="C13" s="2" t="s">
        <v>60</v>
      </c>
      <c r="D13" s="3" t="s">
        <v>67</v>
      </c>
      <c r="E13" s="2" t="s">
        <v>20</v>
      </c>
      <c r="F13" s="3" t="s">
        <v>68</v>
      </c>
      <c r="G13" s="2" t="s">
        <v>69</v>
      </c>
      <c r="H13" s="4" t="n">
        <v>21623037</v>
      </c>
      <c r="I13" s="4" t="n">
        <v>21623037</v>
      </c>
      <c r="J13" s="4" t="n">
        <v>14514957</v>
      </c>
      <c r="K13" s="4" t="n">
        <v>22245781</v>
      </c>
      <c r="L13" s="5" t="n">
        <f aca="false">IF(OR(H13="",H13=0),"",J13/H13-1)</f>
        <v>-0.328727181107816</v>
      </c>
      <c r="M13" s="5" t="n">
        <f aca="false">IF(OR(H13="",H13=0),"",J13/(H13*'Supuestos y fuentes'!$B$5)-1)</f>
        <v>-0.347518644156119</v>
      </c>
      <c r="N13" s="5" t="n">
        <f aca="false">IF(OR(K13="",K13=0),"",J13/K13-1)</f>
        <v>-0.347518659830374</v>
      </c>
      <c r="O13" s="2" t="str">
        <f aca="false">IF(OR(H13="",H13=0),"Nuevo",IF(M13&lt;=-0.995,"Desaparece",IF(M13&lt;-'Supuestos y fuentes'!$B$6,"Baja",IF(M13&gt;'Supuestos y fuentes'!$B$6,"Sube","Se mantiene"))))</f>
        <v>Baja</v>
      </c>
      <c r="P13" s="2" t="s">
        <v>23</v>
      </c>
      <c r="Q13" s="2" t="s">
        <v>24</v>
      </c>
      <c r="R13" s="3"/>
    </row>
    <row r="14" customFormat="false" ht="15" hidden="false" customHeight="false" outlineLevel="0" collapsed="false">
      <c r="A14" s="2" t="n">
        <v>13</v>
      </c>
      <c r="B14" s="2" t="s">
        <v>60</v>
      </c>
      <c r="C14" s="2" t="s">
        <v>60</v>
      </c>
      <c r="D14" s="3" t="s">
        <v>70</v>
      </c>
      <c r="E14" s="2" t="s">
        <v>20</v>
      </c>
      <c r="F14" s="3" t="s">
        <v>71</v>
      </c>
      <c r="G14" s="2" t="s">
        <v>72</v>
      </c>
      <c r="H14" s="4" t="n">
        <v>14894015</v>
      </c>
      <c r="I14" s="4" t="n">
        <v>9894015</v>
      </c>
      <c r="J14" s="4" t="n">
        <v>10177155</v>
      </c>
      <c r="K14" s="4" t="n">
        <v>10178963</v>
      </c>
      <c r="L14" s="5" t="n">
        <f aca="false">IF(OR(H14="",H14=0),"",J14/H14-1)</f>
        <v>-0.31669499460018</v>
      </c>
      <c r="M14" s="5" t="n">
        <f aca="false">IF(OR(H14="",H14=0),"",J14/(H14*'Supuestos y fuentes'!$B$5)-1)</f>
        <v>-0.335823284020393</v>
      </c>
      <c r="N14" s="5" t="n">
        <f aca="false">IF(OR(K14="",K14=0),"",J14/K14-1)</f>
        <v>-0.000177621237055337</v>
      </c>
      <c r="O14" s="2" t="str">
        <f aca="false">IF(OR(H14="",H14=0),"Nuevo",IF(M14&lt;=-0.995,"Desaparece",IF(M14&lt;-'Supuestos y fuentes'!$B$6,"Baja",IF(M14&gt;'Supuestos y fuentes'!$B$6,"Sube","Se mantiene"))))</f>
        <v>Baja</v>
      </c>
      <c r="P14" s="2" t="s">
        <v>23</v>
      </c>
      <c r="Q14" s="2" t="s">
        <v>24</v>
      </c>
      <c r="R14" s="3"/>
    </row>
    <row r="15" customFormat="false" ht="15" hidden="false" customHeight="false" outlineLevel="0" collapsed="false">
      <c r="A15" s="2" t="n">
        <v>14</v>
      </c>
      <c r="B15" s="2" t="s">
        <v>60</v>
      </c>
      <c r="C15" s="2" t="s">
        <v>60</v>
      </c>
      <c r="D15" s="3" t="s">
        <v>73</v>
      </c>
      <c r="E15" s="2" t="s">
        <v>20</v>
      </c>
      <c r="F15" s="3" t="s">
        <v>74</v>
      </c>
      <c r="G15" s="2" t="s">
        <v>75</v>
      </c>
      <c r="H15" s="4" t="n">
        <v>4223530</v>
      </c>
      <c r="I15" s="4" t="n">
        <v>4223530</v>
      </c>
      <c r="J15" s="4" t="n">
        <v>4345168</v>
      </c>
      <c r="K15" s="4" t="n">
        <v>4345168</v>
      </c>
      <c r="L15" s="5" t="n">
        <f aca="false">IF(OR(H15="",H15=0),"",J15/H15-1)</f>
        <v>0.0288000795543064</v>
      </c>
      <c r="M15" s="5" t="n">
        <f aca="false">IF(OR(H15="",H15=0),"",J15/(H15*'Supuestos y fuentes'!$B$5)-1)</f>
        <v>7.73272808007874E-008</v>
      </c>
      <c r="N15" s="5" t="n">
        <f aca="false">IF(OR(K15="",K15=0),"",J15/K15-1)</f>
        <v>0</v>
      </c>
      <c r="O15" s="2" t="str">
        <f aca="false">IF(OR(H15="",H15=0),"Nuevo",IF(M15&lt;=-0.995,"Desaparece",IF(M15&lt;-'Supuestos y fuentes'!$B$6,"Baja",IF(M15&gt;'Supuestos y fuentes'!$B$6,"Sube","Se mantiene"))))</f>
        <v>Se mantiene</v>
      </c>
      <c r="P15" s="2" t="s">
        <v>23</v>
      </c>
      <c r="Q15" s="2" t="s">
        <v>24</v>
      </c>
      <c r="R15" s="3"/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60</v>
      </c>
      <c r="D16" s="3" t="s">
        <v>76</v>
      </c>
      <c r="E16" s="2" t="s">
        <v>20</v>
      </c>
      <c r="F16" s="3" t="s">
        <v>77</v>
      </c>
      <c r="G16" s="2" t="s">
        <v>78</v>
      </c>
      <c r="H16" s="4" t="n">
        <v>7436742</v>
      </c>
      <c r="I16" s="4" t="n">
        <v>7436742</v>
      </c>
      <c r="J16" s="4" t="n">
        <v>7664968</v>
      </c>
      <c r="K16" s="4" t="n">
        <v>7650920</v>
      </c>
      <c r="L16" s="5" t="n">
        <f aca="false">IF(OR(H16="",H16=0),"",J16/H16-1)</f>
        <v>0.0306889764361866</v>
      </c>
      <c r="M16" s="5" t="n">
        <f aca="false">IF(OR(H16="",H16=0),"",J16/(H16*'Supuestos y fuentes'!$B$5)-1)</f>
        <v>0.00183609684699326</v>
      </c>
      <c r="N16" s="5" t="n">
        <f aca="false">IF(OR(K16="",K16=0),"",J16/K16-1)</f>
        <v>0.00183611905496339</v>
      </c>
      <c r="O16" s="2" t="str">
        <f aca="false">IF(OR(H16="",H16=0),"Nuevo",IF(M16&lt;=-0.995,"Desaparece",IF(M16&lt;-'Supuestos y fuentes'!$B$6,"Baja",IF(M16&gt;'Supuestos y fuentes'!$B$6,"Sube","Se mantiene"))))</f>
        <v>Se mantiene</v>
      </c>
      <c r="P16" s="2" t="s">
        <v>23</v>
      </c>
      <c r="Q16" s="2" t="s">
        <v>24</v>
      </c>
      <c r="R16" s="3"/>
    </row>
    <row r="17" customFormat="false" ht="15" hidden="false" customHeight="false" outlineLevel="0" collapsed="false">
      <c r="A17" s="2" t="n">
        <v>16</v>
      </c>
      <c r="B17" s="2" t="s">
        <v>60</v>
      </c>
      <c r="C17" s="2" t="s">
        <v>60</v>
      </c>
      <c r="D17" s="3" t="s">
        <v>79</v>
      </c>
      <c r="E17" s="2" t="s">
        <v>20</v>
      </c>
      <c r="F17" s="3" t="s">
        <v>80</v>
      </c>
      <c r="G17" s="2" t="s">
        <v>81</v>
      </c>
      <c r="H17" s="4" t="n">
        <v>992681</v>
      </c>
      <c r="I17" s="4" t="n">
        <v>992681</v>
      </c>
      <c r="J17" s="4" t="n">
        <v>1605320</v>
      </c>
      <c r="K17" s="4" t="n">
        <v>1021270</v>
      </c>
      <c r="L17" s="5" t="n">
        <f aca="false">IF(OR(H17="",H17=0),"",J17/H17-1)</f>
        <v>0.617155964504206</v>
      </c>
      <c r="M17" s="5" t="n">
        <f aca="false">IF(OR(H17="",H17=0),"",J17/(H17*'Supuestos y fuentes'!$B$5)-1)</f>
        <v>0.571885657566297</v>
      </c>
      <c r="N17" s="5" t="n">
        <f aca="false">IF(OR(K17="",K17=0),"",J17/K17-1)</f>
        <v>0.571885985096987</v>
      </c>
      <c r="O17" s="2" t="str">
        <f aca="false">IF(OR(H17="",H17=0),"Nuevo",IF(M17&lt;=-0.995,"Desaparece",IF(M17&lt;-'Supuestos y fuentes'!$B$6,"Baja",IF(M17&gt;'Supuestos y fuentes'!$B$6,"Sube","Se mantiene"))))</f>
        <v>Sube</v>
      </c>
      <c r="P17" s="2" t="s">
        <v>23</v>
      </c>
      <c r="Q17" s="2" t="s">
        <v>24</v>
      </c>
      <c r="R17" s="3"/>
    </row>
    <row r="18" customFormat="false" ht="15" hidden="false" customHeight="false" outlineLevel="0" collapsed="false">
      <c r="A18" s="2" t="n">
        <v>17</v>
      </c>
      <c r="B18" s="2" t="s">
        <v>60</v>
      </c>
      <c r="C18" s="2" t="s">
        <v>60</v>
      </c>
      <c r="D18" s="3" t="s">
        <v>82</v>
      </c>
      <c r="E18" s="2" t="s">
        <v>20</v>
      </c>
      <c r="F18" s="3" t="s">
        <v>83</v>
      </c>
      <c r="G18" s="2" t="s">
        <v>84</v>
      </c>
      <c r="H18" s="4" t="n">
        <v>1487171</v>
      </c>
      <c r="I18" s="4" t="n">
        <v>1487171</v>
      </c>
      <c r="J18" s="4" t="n">
        <v>1053492</v>
      </c>
      <c r="K18" s="4" t="n">
        <v>1530002</v>
      </c>
      <c r="L18" s="5" t="n">
        <f aca="false">IF(OR(H18="",H18=0),"",J18/H18-1)</f>
        <v>-0.291613405586849</v>
      </c>
      <c r="M18" s="5" t="n">
        <f aca="false">IF(OR(H18="",H18=0),"",J18/(H18*'Supuestos y fuentes'!$B$5)-1)</f>
        <v>-0.311443823470888</v>
      </c>
      <c r="N18" s="5" t="n">
        <f aca="false">IF(OR(K18="",K18=0),"",J18/K18-1)</f>
        <v>-0.311444037328056</v>
      </c>
      <c r="O18" s="2" t="str">
        <f aca="false">IF(OR(H18="",H18=0),"Nuevo",IF(M18&lt;=-0.995,"Desaparece",IF(M18&lt;-'Supuestos y fuentes'!$B$6,"Baja",IF(M18&gt;'Supuestos y fuentes'!$B$6,"Sube","Se mantiene"))))</f>
        <v>Baja</v>
      </c>
      <c r="P18" s="2" t="s">
        <v>23</v>
      </c>
      <c r="Q18" s="2" t="s">
        <v>24</v>
      </c>
      <c r="R18" s="3"/>
    </row>
    <row r="19" customFormat="false" ht="23.85" hidden="false" customHeight="false" outlineLevel="0" collapsed="false">
      <c r="A19" s="2" t="n">
        <v>18</v>
      </c>
      <c r="B19" s="2" t="s">
        <v>60</v>
      </c>
      <c r="C19" s="2" t="s">
        <v>60</v>
      </c>
      <c r="D19" s="3" t="s">
        <v>85</v>
      </c>
      <c r="E19" s="2" t="s">
        <v>20</v>
      </c>
      <c r="F19" s="3" t="s">
        <v>86</v>
      </c>
      <c r="G19" s="2" t="s">
        <v>58</v>
      </c>
      <c r="H19" s="4" t="n">
        <v>3093000</v>
      </c>
      <c r="I19" s="4"/>
      <c r="J19" s="4" t="n">
        <v>0</v>
      </c>
      <c r="K19" s="4"/>
      <c r="L19" s="5" t="n">
        <f aca="false">IF(OR(H19="",H19=0),"",J19/H19-1)</f>
        <v>-1</v>
      </c>
      <c r="M19" s="5" t="n">
        <f aca="false">IF(OR(H19="",H19=0),"",J19/(H19*'Supuestos y fuentes'!$B$5)-1)</f>
        <v>-1</v>
      </c>
      <c r="N19" s="5" t="str">
        <f aca="false">IF(OR(K19="",K19=0),"",J19/K19-1)</f>
        <v/>
      </c>
      <c r="O19" s="2" t="str">
        <f aca="false">IF(OR(H19="",H19=0),"Nuevo",IF(M19&lt;=-0.995,"Desaparece",IF(M19&lt;-'Supuestos y fuentes'!$B$6,"Baja",IF(M19&gt;'Supuestos y fuentes'!$B$6,"Sube","Se mantiene"))))</f>
        <v>Desaparece</v>
      </c>
      <c r="P19" s="2" t="s">
        <v>24</v>
      </c>
      <c r="Q19" s="2" t="s">
        <v>24</v>
      </c>
      <c r="R19" s="3" t="s">
        <v>39</v>
      </c>
    </row>
    <row r="20" customFormat="false" ht="15" hidden="false" customHeight="false" outlineLevel="0" collapsed="false">
      <c r="A20" s="2" t="n">
        <v>19</v>
      </c>
      <c r="B20" s="2" t="s">
        <v>60</v>
      </c>
      <c r="C20" s="2" t="s">
        <v>60</v>
      </c>
      <c r="D20" s="3" t="s">
        <v>87</v>
      </c>
      <c r="E20" s="2" t="s">
        <v>20</v>
      </c>
      <c r="F20" s="3" t="s">
        <v>88</v>
      </c>
      <c r="G20" s="2" t="s">
        <v>89</v>
      </c>
      <c r="H20" s="4" t="n">
        <v>1805133752</v>
      </c>
      <c r="I20" s="4" t="n">
        <v>1785084425</v>
      </c>
      <c r="J20" s="4" t="n">
        <v>1819372635</v>
      </c>
      <c r="K20" s="4" t="n">
        <v>1836494856</v>
      </c>
      <c r="L20" s="5" t="n">
        <f aca="false">IF(OR(H20="",H20=0),"",J20/H20-1)</f>
        <v>0.00788799333247403</v>
      </c>
      <c r="M20" s="5" t="n">
        <f aca="false">IF(OR(H20="",H20=0),"",J20/(H20*'Supuestos y fuentes'!$B$5)-1)</f>
        <v>-0.0203266005710787</v>
      </c>
      <c r="N20" s="5" t="n">
        <f aca="false">IF(OR(K20="",K20=0),"",J20/K20-1)</f>
        <v>-0.00932331552362375</v>
      </c>
      <c r="O20" s="2" t="str">
        <f aca="false">IF(OR(H20="",H20=0),"Nuevo",IF(M20&lt;=-0.995,"Desaparece",IF(M20&lt;-'Supuestos y fuentes'!$B$6,"Baja",IF(M20&gt;'Supuestos y fuentes'!$B$6,"Sube","Se mantiene"))))</f>
        <v>Baja</v>
      </c>
      <c r="P20" s="2" t="s">
        <v>23</v>
      </c>
      <c r="Q20" s="2" t="s">
        <v>24</v>
      </c>
      <c r="R20" s="3"/>
    </row>
    <row r="21" customFormat="false" ht="15" hidden="false" customHeight="false" outlineLevel="0" collapsed="false">
      <c r="A21" s="2" t="n">
        <v>20</v>
      </c>
      <c r="B21" s="2" t="s">
        <v>60</v>
      </c>
      <c r="C21" s="2" t="s">
        <v>60</v>
      </c>
      <c r="D21" s="3" t="s">
        <v>90</v>
      </c>
      <c r="E21" s="2" t="s">
        <v>20</v>
      </c>
      <c r="F21" s="3" t="s">
        <v>91</v>
      </c>
      <c r="G21" s="2" t="s">
        <v>92</v>
      </c>
      <c r="H21" s="4" t="n">
        <v>13343911</v>
      </c>
      <c r="I21" s="4" t="n">
        <v>10343911</v>
      </c>
      <c r="J21" s="4" t="n">
        <v>13990228</v>
      </c>
      <c r="K21" s="4" t="n">
        <v>10641816</v>
      </c>
      <c r="L21" s="5" t="n">
        <f aca="false">IF(OR(H21="",H21=0),"",J21/H21-1)</f>
        <v>0.0484353500259407</v>
      </c>
      <c r="M21" s="5" t="n">
        <f aca="false">IF(OR(H21="",H21=0),"",J21/(H21*'Supuestos y fuentes'!$B$5)-1)</f>
        <v>0.0190856823735817</v>
      </c>
      <c r="N21" s="5" t="n">
        <f aca="false">IF(OR(K21="",K21=0),"",J21/K21-1)</f>
        <v>0.314646673086624</v>
      </c>
      <c r="O21" s="2" t="str">
        <f aca="false">IF(OR(H21="",H21=0),"Nuevo",IF(M21&lt;=-0.995,"Desaparece",IF(M21&lt;-'Supuestos y fuentes'!$B$6,"Baja",IF(M21&gt;'Supuestos y fuentes'!$B$6,"Sube","Se mantiene"))))</f>
        <v>Sube</v>
      </c>
      <c r="P21" s="2" t="s">
        <v>23</v>
      </c>
      <c r="Q21" s="2" t="s">
        <v>24</v>
      </c>
      <c r="R21" s="3"/>
    </row>
    <row r="22" customFormat="false" ht="15" hidden="false" customHeight="false" outlineLevel="0" collapsed="false">
      <c r="A22" s="2" t="n">
        <v>21</v>
      </c>
      <c r="B22" s="2" t="s">
        <v>60</v>
      </c>
      <c r="C22" s="2" t="s">
        <v>60</v>
      </c>
      <c r="D22" s="3" t="s">
        <v>93</v>
      </c>
      <c r="E22" s="2" t="s">
        <v>20</v>
      </c>
      <c r="F22" s="3" t="s">
        <v>94</v>
      </c>
      <c r="G22" s="2" t="s">
        <v>95</v>
      </c>
      <c r="H22" s="4" t="n">
        <v>17310024</v>
      </c>
      <c r="I22" s="4" t="n">
        <v>17310024</v>
      </c>
      <c r="J22" s="4" t="n">
        <v>16580607</v>
      </c>
      <c r="K22" s="4" t="n">
        <v>17808553</v>
      </c>
      <c r="L22" s="5" t="n">
        <f aca="false">IF(OR(H22="",H22=0),"",J22/H22-1)</f>
        <v>-0.0421384164458698</v>
      </c>
      <c r="M22" s="5" t="n">
        <f aca="false">IF(OR(H22="",H22=0),"",J22/(H22*'Supuestos y fuentes'!$B$5)-1)</f>
        <v>-0.0689525820819107</v>
      </c>
      <c r="N22" s="5" t="n">
        <f aca="false">IF(OR(K22="",K22=0),"",J22/K22-1)</f>
        <v>-0.0689525982262568</v>
      </c>
      <c r="O22" s="2" t="str">
        <f aca="false">IF(OR(H22="",H22=0),"Nuevo",IF(M22&lt;=-0.995,"Desaparece",IF(M22&lt;-'Supuestos y fuentes'!$B$6,"Baja",IF(M22&gt;'Supuestos y fuentes'!$B$6,"Sube","Se mantiene"))))</f>
        <v>Baja</v>
      </c>
      <c r="P22" s="2" t="s">
        <v>23</v>
      </c>
      <c r="Q22" s="2" t="s">
        <v>24</v>
      </c>
      <c r="R22" s="3"/>
    </row>
    <row r="23" customFormat="false" ht="15" hidden="false" customHeight="false" outlineLevel="0" collapsed="false">
      <c r="A23" s="2" t="n">
        <v>22</v>
      </c>
      <c r="B23" s="2" t="s">
        <v>60</v>
      </c>
      <c r="C23" s="2" t="s">
        <v>60</v>
      </c>
      <c r="D23" s="3" t="s">
        <v>96</v>
      </c>
      <c r="E23" s="2" t="s">
        <v>20</v>
      </c>
      <c r="F23" s="3" t="s">
        <v>97</v>
      </c>
      <c r="G23" s="2" t="s">
        <v>98</v>
      </c>
      <c r="H23" s="4" t="n">
        <v>519655</v>
      </c>
      <c r="I23" s="4"/>
      <c r="J23" s="4" t="n">
        <v>561519</v>
      </c>
      <c r="K23" s="4" t="n">
        <v>550395</v>
      </c>
      <c r="L23" s="5" t="n">
        <f aca="false">IF(OR(H23="",H23=0),"",J23/H23-1)</f>
        <v>0.0805611415265897</v>
      </c>
      <c r="M23" s="5" t="n">
        <f aca="false">IF(OR(H23="",H23=0),"",J23/(H23*'Supuestos y fuentes'!$B$5)-1)</f>
        <v>0.0503121515616152</v>
      </c>
      <c r="N23" s="5" t="n">
        <f aca="false">IF(OR(K23="",K23=0),"",J23/K23-1)</f>
        <v>0.0202109394162375</v>
      </c>
      <c r="O23" s="2" t="str">
        <f aca="false">IF(OR(H23="",H23=0),"Nuevo",IF(M23&lt;=-0.995,"Desaparece",IF(M23&lt;-'Supuestos y fuentes'!$B$6,"Baja",IF(M23&gt;'Supuestos y fuentes'!$B$6,"Sube","Se mantiene"))))</f>
        <v>Sube</v>
      </c>
      <c r="P23" s="2" t="s">
        <v>23</v>
      </c>
      <c r="Q23" s="2" t="s">
        <v>24</v>
      </c>
      <c r="R23" s="3"/>
    </row>
    <row r="24" customFormat="false" ht="15" hidden="false" customHeight="false" outlineLevel="0" collapsed="false">
      <c r="A24" s="2" t="n">
        <v>23</v>
      </c>
      <c r="B24" s="2" t="s">
        <v>99</v>
      </c>
      <c r="C24" s="2" t="s">
        <v>99</v>
      </c>
      <c r="D24" s="3" t="s">
        <v>100</v>
      </c>
      <c r="E24" s="2" t="s">
        <v>20</v>
      </c>
      <c r="F24" s="3" t="s">
        <v>101</v>
      </c>
      <c r="G24" s="2" t="s">
        <v>102</v>
      </c>
      <c r="H24" s="4" t="n">
        <v>231751216</v>
      </c>
      <c r="I24" s="4" t="n">
        <v>227751216</v>
      </c>
      <c r="J24" s="4" t="n">
        <v>240490355</v>
      </c>
      <c r="K24" s="4" t="n">
        <v>234310451</v>
      </c>
      <c r="L24" s="5" t="n">
        <f aca="false">IF(OR(H24="",H24=0),"",J24/H24-1)</f>
        <v>0.0377091397872105</v>
      </c>
      <c r="M24" s="5" t="n">
        <f aca="false">IF(OR(H24="",H24=0),"",J24/(H24*'Supuestos y fuentes'!$B$5)-1)</f>
        <v>0.00865973929550012</v>
      </c>
      <c r="N24" s="5" t="n">
        <f aca="false">IF(OR(K24="",K24=0),"",J24/K24-1)</f>
        <v>0.026374854273999</v>
      </c>
      <c r="O24" s="2" t="str">
        <f aca="false">IF(OR(H24="",H24=0),"Nuevo",IF(M24&lt;=-0.995,"Desaparece",IF(M24&lt;-'Supuestos y fuentes'!$B$6,"Baja",IF(M24&gt;'Supuestos y fuentes'!$B$6,"Sube","Se mantiene"))))</f>
        <v>Sube</v>
      </c>
      <c r="P24" s="2" t="s">
        <v>23</v>
      </c>
      <c r="Q24" s="2" t="s">
        <v>24</v>
      </c>
      <c r="R24" s="3"/>
    </row>
    <row r="25" customFormat="false" ht="15" hidden="false" customHeight="false" outlineLevel="0" collapsed="false">
      <c r="A25" s="2" t="n">
        <v>24</v>
      </c>
      <c r="B25" s="2" t="s">
        <v>99</v>
      </c>
      <c r="C25" s="2" t="s">
        <v>99</v>
      </c>
      <c r="D25" s="3" t="s">
        <v>103</v>
      </c>
      <c r="E25" s="2" t="s">
        <v>20</v>
      </c>
      <c r="F25" s="3" t="s">
        <v>104</v>
      </c>
      <c r="G25" s="2" t="s">
        <v>105</v>
      </c>
      <c r="H25" s="4" t="n">
        <v>351975501</v>
      </c>
      <c r="I25" s="4" t="n">
        <v>349475501</v>
      </c>
      <c r="J25" s="4" t="n">
        <v>358405481</v>
      </c>
      <c r="K25" s="4" t="n">
        <v>359540397</v>
      </c>
      <c r="L25" s="5" t="n">
        <f aca="false">IF(OR(H25="",H25=0),"",J25/H25-1)</f>
        <v>0.0182682600968866</v>
      </c>
      <c r="M25" s="5" t="n">
        <f aca="false">IF(OR(H25="",H25=0),"",J25/(H25*'Supuestos y fuentes'!$B$5)-1)</f>
        <v>-0.010236916702093</v>
      </c>
      <c r="N25" s="5" t="n">
        <f aca="false">IF(OR(K25="",K25=0),"",J25/K25-1)</f>
        <v>-0.00315657436402061</v>
      </c>
      <c r="O25" s="2" t="str">
        <f aca="false">IF(OR(H25="",H25=0),"Nuevo",IF(M25&lt;=-0.995,"Desaparece",IF(M25&lt;-'Supuestos y fuentes'!$B$6,"Baja",IF(M25&gt;'Supuestos y fuentes'!$B$6,"Sube","Se mantiene"))))</f>
        <v>Baja</v>
      </c>
      <c r="P25" s="2" t="s">
        <v>23</v>
      </c>
      <c r="Q25" s="2" t="s">
        <v>24</v>
      </c>
      <c r="R25" s="3"/>
    </row>
    <row r="26" customFormat="false" ht="15" hidden="false" customHeight="false" outlineLevel="0" collapsed="false">
      <c r="A26" s="2" t="n">
        <v>25</v>
      </c>
      <c r="B26" s="2" t="s">
        <v>99</v>
      </c>
      <c r="C26" s="2" t="s">
        <v>99</v>
      </c>
      <c r="D26" s="3" t="s">
        <v>106</v>
      </c>
      <c r="E26" s="2" t="s">
        <v>20</v>
      </c>
      <c r="F26" s="3" t="s">
        <v>107</v>
      </c>
      <c r="G26" s="2" t="s">
        <v>108</v>
      </c>
      <c r="H26" s="4" t="n">
        <v>37846636</v>
      </c>
      <c r="I26" s="4" t="n">
        <v>37746636</v>
      </c>
      <c r="J26" s="4" t="n">
        <v>34950366</v>
      </c>
      <c r="K26" s="4" t="n">
        <v>38833739</v>
      </c>
      <c r="L26" s="5" t="n">
        <f aca="false">IF(OR(H26="",H26=0),"",J26/H26-1)</f>
        <v>-0.0765264844146254</v>
      </c>
      <c r="M26" s="5" t="n">
        <f aca="false">IF(OR(H26="",H26=0),"",J26/(H26*'Supuestos y fuentes'!$B$5)-1)</f>
        <v>-0.102377998070203</v>
      </c>
      <c r="N26" s="5" t="n">
        <f aca="false">IF(OR(K26="",K26=0),"",J26/K26-1)</f>
        <v>-0.0999999768242764</v>
      </c>
      <c r="O26" s="2" t="str">
        <f aca="false">IF(OR(H26="",H26=0),"Nuevo",IF(M26&lt;=-0.995,"Desaparece",IF(M26&lt;-'Supuestos y fuentes'!$B$6,"Baja",IF(M26&gt;'Supuestos y fuentes'!$B$6,"Sube","Se mantiene"))))</f>
        <v>Baja</v>
      </c>
      <c r="P26" s="2" t="s">
        <v>23</v>
      </c>
      <c r="Q26" s="2" t="s">
        <v>24</v>
      </c>
      <c r="R26" s="3"/>
    </row>
    <row r="27" customFormat="false" ht="15" hidden="false" customHeight="false" outlineLevel="0" collapsed="false">
      <c r="A27" s="2" t="n">
        <v>26</v>
      </c>
      <c r="B27" s="2" t="s">
        <v>99</v>
      </c>
      <c r="C27" s="2" t="s">
        <v>99</v>
      </c>
      <c r="D27" s="3" t="s">
        <v>109</v>
      </c>
      <c r="E27" s="2" t="s">
        <v>20</v>
      </c>
      <c r="F27" s="3" t="s">
        <v>110</v>
      </c>
      <c r="G27" s="2" t="s">
        <v>111</v>
      </c>
      <c r="H27" s="4" t="n">
        <v>34714450</v>
      </c>
      <c r="I27" s="4" t="n">
        <v>34614450</v>
      </c>
      <c r="J27" s="4" t="n">
        <v>35611346</v>
      </c>
      <c r="K27" s="4" t="n">
        <v>35611346</v>
      </c>
      <c r="L27" s="5" t="n">
        <f aca="false">IF(OR(H27="",H27=0),"",J27/H27-1)</f>
        <v>0.0258363880170938</v>
      </c>
      <c r="M27" s="5" t="n">
        <f aca="false">IF(OR(H27="",H27=0),"",J27/(H27*'Supuestos y fuentes'!$B$5)-1)</f>
        <v>-0.00288064928354015</v>
      </c>
      <c r="N27" s="5" t="n">
        <f aca="false">IF(OR(K27="",K27=0),"",J27/K27-1)</f>
        <v>0</v>
      </c>
      <c r="O27" s="2" t="str">
        <f aca="false">IF(OR(H27="",H27=0),"Nuevo",IF(M27&lt;=-0.995,"Desaparece",IF(M27&lt;-'Supuestos y fuentes'!$B$6,"Baja",IF(M27&gt;'Supuestos y fuentes'!$B$6,"Sube","Se mantiene"))))</f>
        <v>Se mantiene</v>
      </c>
      <c r="P27" s="2" t="s">
        <v>23</v>
      </c>
      <c r="Q27" s="2" t="s">
        <v>24</v>
      </c>
      <c r="R27" s="3"/>
    </row>
    <row r="28" customFormat="false" ht="15" hidden="false" customHeight="false" outlineLevel="0" collapsed="false">
      <c r="A28" s="2" t="n">
        <v>27</v>
      </c>
      <c r="B28" s="2" t="s">
        <v>99</v>
      </c>
      <c r="C28" s="2" t="s">
        <v>99</v>
      </c>
      <c r="D28" s="3" t="s">
        <v>112</v>
      </c>
      <c r="E28" s="2" t="s">
        <v>20</v>
      </c>
      <c r="F28" s="3" t="s">
        <v>113</v>
      </c>
      <c r="G28" s="2" t="s">
        <v>114</v>
      </c>
      <c r="H28" s="4" t="n">
        <v>20682565</v>
      </c>
      <c r="I28" s="4" t="n">
        <v>20682565</v>
      </c>
      <c r="J28" s="4" t="n">
        <v>20607522</v>
      </c>
      <c r="K28" s="4" t="n">
        <v>21278223</v>
      </c>
      <c r="L28" s="5" t="n">
        <f aca="false">IF(OR(H28="",H28=0),"",J28/H28-1)</f>
        <v>-0.00362832172895378</v>
      </c>
      <c r="M28" s="5" t="n">
        <f aca="false">IF(OR(H28="",H28=0),"",J28/(H28*'Supuestos y fuentes'!$B$5)-1)</f>
        <v>-0.0315205304519379</v>
      </c>
      <c r="N28" s="5" t="n">
        <f aca="false">IF(OR(K28="",K28=0),"",J28/K28-1)</f>
        <v>-0.0315205362778649</v>
      </c>
      <c r="O28" s="2" t="str">
        <f aca="false">IF(OR(H28="",H28=0),"Nuevo",IF(M28&lt;=-0.995,"Desaparece",IF(M28&lt;-'Supuestos y fuentes'!$B$6,"Baja",IF(M28&gt;'Supuestos y fuentes'!$B$6,"Sube","Se mantiene"))))</f>
        <v>Baja</v>
      </c>
      <c r="P28" s="2" t="s">
        <v>23</v>
      </c>
      <c r="Q28" s="2" t="s">
        <v>24</v>
      </c>
      <c r="R28" s="3"/>
    </row>
    <row r="29" customFormat="false" ht="15" hidden="false" customHeight="false" outlineLevel="0" collapsed="false">
      <c r="A29" s="2" t="n">
        <v>28</v>
      </c>
      <c r="B29" s="2" t="s">
        <v>99</v>
      </c>
      <c r="C29" s="2" t="s">
        <v>99</v>
      </c>
      <c r="D29" s="3" t="s">
        <v>115</v>
      </c>
      <c r="E29" s="2" t="s">
        <v>20</v>
      </c>
      <c r="F29" s="3" t="s">
        <v>116</v>
      </c>
      <c r="G29" s="2" t="s">
        <v>117</v>
      </c>
      <c r="H29" s="4" t="n">
        <v>115402158</v>
      </c>
      <c r="I29" s="4" t="n">
        <v>115402158</v>
      </c>
      <c r="J29" s="4" t="n">
        <v>127838997</v>
      </c>
      <c r="K29" s="4" t="n">
        <v>118725740</v>
      </c>
      <c r="L29" s="5" t="n">
        <f aca="false">IF(OR(H29="",H29=0),"",J29/H29-1)</f>
        <v>0.107769553148217</v>
      </c>
      <c r="M29" s="5" t="n">
        <f aca="false">IF(OR(H29="",H29=0),"",J29/(H29*'Supuestos y fuentes'!$B$5)-1)</f>
        <v>0.0767588969170077</v>
      </c>
      <c r="N29" s="5" t="n">
        <f aca="false">IF(OR(K29="",K29=0),"",J29/K29-1)</f>
        <v>0.0767588982810299</v>
      </c>
      <c r="O29" s="2" t="str">
        <f aca="false">IF(OR(H29="",H29=0),"Nuevo",IF(M29&lt;=-0.995,"Desaparece",IF(M29&lt;-'Supuestos y fuentes'!$B$6,"Baja",IF(M29&gt;'Supuestos y fuentes'!$B$6,"Sube","Se mantiene"))))</f>
        <v>Sube</v>
      </c>
      <c r="P29" s="2" t="s">
        <v>23</v>
      </c>
      <c r="Q29" s="2" t="s">
        <v>24</v>
      </c>
      <c r="R29" s="3"/>
    </row>
    <row r="30" customFormat="false" ht="15" hidden="false" customHeight="false" outlineLevel="0" collapsed="false">
      <c r="A30" s="2" t="n">
        <v>29</v>
      </c>
      <c r="B30" s="2" t="s">
        <v>99</v>
      </c>
      <c r="C30" s="2" t="s">
        <v>99</v>
      </c>
      <c r="D30" s="3" t="s">
        <v>118</v>
      </c>
      <c r="E30" s="2" t="s">
        <v>20</v>
      </c>
      <c r="F30" s="3" t="s">
        <v>119</v>
      </c>
      <c r="G30" s="2" t="s">
        <v>120</v>
      </c>
      <c r="H30" s="4" t="n">
        <v>22794929</v>
      </c>
      <c r="I30" s="4" t="n">
        <v>22794929</v>
      </c>
      <c r="J30" s="4" t="n">
        <v>20494191</v>
      </c>
      <c r="K30" s="4" t="n">
        <v>23451423</v>
      </c>
      <c r="L30" s="5" t="n">
        <f aca="false">IF(OR(H30="",H30=0),"",J30/H30-1)</f>
        <v>-0.100932009922031</v>
      </c>
      <c r="M30" s="5" t="n">
        <f aca="false">IF(OR(H30="",H30=0),"",J30/(H30*'Supuestos y fuentes'!$B$5)-1)</f>
        <v>-0.126100320686267</v>
      </c>
      <c r="N30" s="5" t="n">
        <f aca="false">IF(OR(K30="",K30=0),"",J30/K30-1)</f>
        <v>-0.126100322355705</v>
      </c>
      <c r="O30" s="2" t="str">
        <f aca="false">IF(OR(H30="",H30=0),"Nuevo",IF(M30&lt;=-0.995,"Desaparece",IF(M30&lt;-'Supuestos y fuentes'!$B$6,"Baja",IF(M30&gt;'Supuestos y fuentes'!$B$6,"Sube","Se mantiene"))))</f>
        <v>Baja</v>
      </c>
      <c r="P30" s="2" t="s">
        <v>23</v>
      </c>
      <c r="Q30" s="2" t="s">
        <v>24</v>
      </c>
      <c r="R30" s="3"/>
    </row>
    <row r="31" customFormat="false" ht="15" hidden="false" customHeight="false" outlineLevel="0" collapsed="false">
      <c r="A31" s="2" t="n">
        <v>30</v>
      </c>
      <c r="B31" s="2" t="s">
        <v>99</v>
      </c>
      <c r="C31" s="2" t="s">
        <v>99</v>
      </c>
      <c r="D31" s="3" t="s">
        <v>121</v>
      </c>
      <c r="E31" s="2" t="s">
        <v>122</v>
      </c>
      <c r="F31" s="3" t="s">
        <v>123</v>
      </c>
      <c r="G31" s="2" t="s">
        <v>124</v>
      </c>
      <c r="H31" s="4" t="n">
        <v>1369559</v>
      </c>
      <c r="I31" s="4" t="n">
        <v>1369559</v>
      </c>
      <c r="J31" s="4" t="n">
        <v>1409002</v>
      </c>
      <c r="K31" s="4" t="n">
        <v>1409002</v>
      </c>
      <c r="L31" s="5" t="n">
        <f aca="false">IF(OR(H31="",H31=0),"",J31/H31-1)</f>
        <v>0.0287997815355161</v>
      </c>
      <c r="M31" s="5" t="n">
        <f aca="false">IF(OR(H31="",H31=0),"",J31/(H31*'Supuestos y fuentes'!$B$5)-1)</f>
        <v>-2.1234883729182E-007</v>
      </c>
      <c r="N31" s="5" t="n">
        <f aca="false">IF(OR(K31="",K31=0),"",J31/K31-1)</f>
        <v>0</v>
      </c>
      <c r="O31" s="2" t="str">
        <f aca="false">IF(OR(H31="",H31=0),"Nuevo",IF(M31&lt;=-0.995,"Desaparece",IF(M31&lt;-'Supuestos y fuentes'!$B$6,"Baja",IF(M31&gt;'Supuestos y fuentes'!$B$6,"Sube","Se mantiene"))))</f>
        <v>Se mantiene</v>
      </c>
      <c r="P31" s="2" t="s">
        <v>23</v>
      </c>
      <c r="Q31" s="2" t="s">
        <v>24</v>
      </c>
      <c r="R31" s="3"/>
    </row>
    <row r="32" customFormat="false" ht="15" hidden="false" customHeight="false" outlineLevel="0" collapsed="false">
      <c r="A32" s="2" t="n">
        <v>31</v>
      </c>
      <c r="B32" s="2" t="s">
        <v>125</v>
      </c>
      <c r="C32" s="2" t="s">
        <v>125</v>
      </c>
      <c r="D32" s="3" t="s">
        <v>126</v>
      </c>
      <c r="E32" s="2" t="s">
        <v>127</v>
      </c>
      <c r="F32" s="3" t="s">
        <v>128</v>
      </c>
      <c r="G32" s="2" t="s">
        <v>129</v>
      </c>
      <c r="H32" s="4" t="n">
        <v>197235204</v>
      </c>
      <c r="I32" s="4" t="n">
        <v>192679299</v>
      </c>
      <c r="J32" s="4" t="n">
        <v>201264631</v>
      </c>
      <c r="K32" s="4" t="n">
        <v>198228462</v>
      </c>
      <c r="L32" s="5" t="n">
        <f aca="false">IF(OR(H32="",H32=0),"",J32/H32-1)</f>
        <v>0.0204295527283254</v>
      </c>
      <c r="M32" s="5" t="n">
        <f aca="false">IF(OR(H32="",H32=0),"",J32/(H32*'Supuestos y fuentes'!$B$5)-1)</f>
        <v>-0.00813612681927933</v>
      </c>
      <c r="N32" s="5" t="n">
        <f aca="false">IF(OR(K32="",K32=0),"",J32/K32-1)</f>
        <v>0.0153165139322928</v>
      </c>
      <c r="O32" s="2" t="str">
        <f aca="false">IF(OR(H32="",H32=0),"Nuevo",IF(M32&lt;=-0.995,"Desaparece",IF(M32&lt;-'Supuestos y fuentes'!$B$6,"Baja",IF(M32&gt;'Supuestos y fuentes'!$B$6,"Sube","Se mantiene"))))</f>
        <v>Baja</v>
      </c>
      <c r="P32" s="2" t="s">
        <v>23</v>
      </c>
      <c r="Q32" s="2" t="s">
        <v>24</v>
      </c>
      <c r="R32" s="3"/>
    </row>
    <row r="33" customFormat="false" ht="15" hidden="false" customHeight="false" outlineLevel="0" collapsed="false">
      <c r="A33" s="2" t="n">
        <v>32</v>
      </c>
      <c r="B33" s="2" t="s">
        <v>125</v>
      </c>
      <c r="C33" s="2" t="s">
        <v>125</v>
      </c>
      <c r="D33" s="3" t="s">
        <v>130</v>
      </c>
      <c r="E33" s="2" t="s">
        <v>127</v>
      </c>
      <c r="F33" s="3" t="s">
        <v>131</v>
      </c>
      <c r="G33" s="2" t="s">
        <v>132</v>
      </c>
      <c r="H33" s="4" t="n">
        <v>48019112</v>
      </c>
      <c r="I33" s="4" t="n">
        <v>45062505</v>
      </c>
      <c r="J33" s="4" t="n">
        <v>38266406</v>
      </c>
      <c r="K33" s="4" t="n">
        <v>46360303</v>
      </c>
      <c r="L33" s="5" t="n">
        <f aca="false">IF(OR(H33="",H33=0),"",J33/H33-1)</f>
        <v>-0.203100507148071</v>
      </c>
      <c r="M33" s="5" t="n">
        <f aca="false">IF(OR(H33="",H33=0),"",J33/(H33*'Supuestos y fuentes'!$B$5)-1)</f>
        <v>-0.225408735563832</v>
      </c>
      <c r="N33" s="5" t="n">
        <f aca="false">IF(OR(K33="",K33=0),"",J33/K33-1)</f>
        <v>-0.174586801125955</v>
      </c>
      <c r="O33" s="2" t="str">
        <f aca="false">IF(OR(H33="",H33=0),"Nuevo",IF(M33&lt;=-0.995,"Desaparece",IF(M33&lt;-'Supuestos y fuentes'!$B$6,"Baja",IF(M33&gt;'Supuestos y fuentes'!$B$6,"Sube","Se mantiene"))))</f>
        <v>Baja</v>
      </c>
      <c r="P33" s="2" t="s">
        <v>23</v>
      </c>
      <c r="Q33" s="2" t="s">
        <v>24</v>
      </c>
      <c r="R33" s="3"/>
    </row>
    <row r="34" customFormat="false" ht="15" hidden="false" customHeight="false" outlineLevel="0" collapsed="false">
      <c r="A34" s="2" t="n">
        <v>33</v>
      </c>
      <c r="B34" s="2" t="s">
        <v>125</v>
      </c>
      <c r="C34" s="2" t="s">
        <v>125</v>
      </c>
      <c r="D34" s="3" t="s">
        <v>133</v>
      </c>
      <c r="E34" s="2" t="s">
        <v>127</v>
      </c>
      <c r="F34" s="3" t="s">
        <v>134</v>
      </c>
      <c r="G34" s="2" t="s">
        <v>135</v>
      </c>
      <c r="H34" s="4" t="n">
        <v>18724849</v>
      </c>
      <c r="I34" s="4" t="n">
        <v>16853655</v>
      </c>
      <c r="J34" s="4" t="n">
        <v>14344131</v>
      </c>
      <c r="K34" s="4" t="n">
        <v>17339039</v>
      </c>
      <c r="L34" s="5" t="n">
        <f aca="false">IF(OR(H34="",H34=0),"",J34/H34-1)</f>
        <v>-0.233952113579127</v>
      </c>
      <c r="M34" s="5" t="n">
        <f aca="false">IF(OR(H34="",H34=0),"",J34/(H34*'Supuestos y fuentes'!$B$5)-1)</f>
        <v>-0.255396688937721</v>
      </c>
      <c r="N34" s="5" t="n">
        <f aca="false">IF(OR(K34="",K34=0),"",J34/K34-1)</f>
        <v>-0.172726296999505</v>
      </c>
      <c r="O34" s="2" t="str">
        <f aca="false">IF(OR(H34="",H34=0),"Nuevo",IF(M34&lt;=-0.995,"Desaparece",IF(M34&lt;-'Supuestos y fuentes'!$B$6,"Baja",IF(M34&gt;'Supuestos y fuentes'!$B$6,"Sube","Se mantiene"))))</f>
        <v>Baja</v>
      </c>
      <c r="P34" s="2" t="s">
        <v>23</v>
      </c>
      <c r="Q34" s="2" t="s">
        <v>24</v>
      </c>
      <c r="R34" s="3"/>
    </row>
    <row r="35" customFormat="false" ht="15" hidden="false" customHeight="false" outlineLevel="0" collapsed="false">
      <c r="A35" s="2" t="n">
        <v>34</v>
      </c>
      <c r="B35" s="2" t="s">
        <v>125</v>
      </c>
      <c r="C35" s="2" t="s">
        <v>125</v>
      </c>
      <c r="D35" s="3" t="s">
        <v>136</v>
      </c>
      <c r="E35" s="2" t="s">
        <v>127</v>
      </c>
      <c r="F35" s="3" t="s">
        <v>137</v>
      </c>
      <c r="G35" s="2" t="s">
        <v>138</v>
      </c>
      <c r="H35" s="4" t="n">
        <v>30249486</v>
      </c>
      <c r="I35" s="4" t="n">
        <v>29339948</v>
      </c>
      <c r="J35" s="4" t="n">
        <v>30184938</v>
      </c>
      <c r="K35" s="4" t="n">
        <v>30184939</v>
      </c>
      <c r="L35" s="5" t="n">
        <f aca="false">IF(OR(H35="",H35=0),"",J35/H35-1)</f>
        <v>-0.00213385443970848</v>
      </c>
      <c r="M35" s="5" t="n">
        <f aca="false">IF(OR(H35="",H35=0),"",J35/(H35*'Supuestos y fuentes'!$B$5)-1)</f>
        <v>-0.0300678989499499</v>
      </c>
      <c r="N35" s="5" t="n">
        <f aca="false">IF(OR(K35="",K35=0),"",J35/K35-1)</f>
        <v>-3.31291045707616E-008</v>
      </c>
      <c r="O35" s="2" t="str">
        <f aca="false">IF(OR(H35="",H35=0),"Nuevo",IF(M35&lt;=-0.995,"Desaparece",IF(M35&lt;-'Supuestos y fuentes'!$B$6,"Baja",IF(M35&gt;'Supuestos y fuentes'!$B$6,"Sube","Se mantiene"))))</f>
        <v>Baja</v>
      </c>
      <c r="P35" s="2" t="s">
        <v>23</v>
      </c>
      <c r="Q35" s="2" t="s">
        <v>24</v>
      </c>
      <c r="R35" s="3"/>
    </row>
    <row r="36" customFormat="false" ht="15" hidden="false" customHeight="false" outlineLevel="0" collapsed="false">
      <c r="A36" s="2" t="n">
        <v>35</v>
      </c>
      <c r="B36" s="2" t="s">
        <v>125</v>
      </c>
      <c r="C36" s="2" t="s">
        <v>125</v>
      </c>
      <c r="D36" s="3" t="s">
        <v>139</v>
      </c>
      <c r="E36" s="2" t="s">
        <v>127</v>
      </c>
      <c r="F36" s="3" t="s">
        <v>140</v>
      </c>
      <c r="G36" s="2" t="s">
        <v>141</v>
      </c>
      <c r="H36" s="4" t="n">
        <v>1082550</v>
      </c>
      <c r="I36" s="4" t="n">
        <v>1050000</v>
      </c>
      <c r="J36" s="4" t="n">
        <v>3703680</v>
      </c>
      <c r="K36" s="4" t="n">
        <v>1080240</v>
      </c>
      <c r="L36" s="5" t="n">
        <f aca="false">IF(OR(H36="",H36=0),"",J36/H36-1)</f>
        <v>2.42125536926701</v>
      </c>
      <c r="M36" s="5" t="n">
        <f aca="false">IF(OR(H36="",H36=0),"",J36/(H36*'Supuestos y fuentes'!$B$5)-1)</f>
        <v>2.32548150200915</v>
      </c>
      <c r="N36" s="5" t="n">
        <f aca="false">IF(OR(K36="",K36=0),"",J36/K36-1)</f>
        <v>2.42857142857143</v>
      </c>
      <c r="O36" s="2" t="str">
        <f aca="false">IF(OR(H36="",H36=0),"Nuevo",IF(M36&lt;=-0.995,"Desaparece",IF(M36&lt;-'Supuestos y fuentes'!$B$6,"Baja",IF(M36&gt;'Supuestos y fuentes'!$B$6,"Sube","Se mantiene"))))</f>
        <v>Sube</v>
      </c>
      <c r="P36" s="2" t="s">
        <v>23</v>
      </c>
      <c r="Q36" s="2" t="s">
        <v>24</v>
      </c>
      <c r="R36" s="3"/>
    </row>
    <row r="37" customFormat="false" ht="15" hidden="false" customHeight="false" outlineLevel="0" collapsed="false">
      <c r="A37" s="2" t="n">
        <v>36</v>
      </c>
      <c r="B37" s="2" t="s">
        <v>125</v>
      </c>
      <c r="C37" s="2" t="s">
        <v>125</v>
      </c>
      <c r="D37" s="3" t="s">
        <v>142</v>
      </c>
      <c r="E37" s="2" t="s">
        <v>127</v>
      </c>
      <c r="F37" s="3" t="s">
        <v>143</v>
      </c>
      <c r="G37" s="2" t="s">
        <v>144</v>
      </c>
      <c r="H37" s="4" t="n">
        <v>13741454</v>
      </c>
      <c r="I37" s="4" t="n">
        <v>13328277</v>
      </c>
      <c r="J37" s="4" t="n">
        <v>13712131</v>
      </c>
      <c r="K37" s="4" t="n">
        <v>13712131</v>
      </c>
      <c r="L37" s="5" t="n">
        <f aca="false">IF(OR(H37="",H37=0),"",J37/H37-1)</f>
        <v>-0.00213390810026359</v>
      </c>
      <c r="M37" s="5" t="n">
        <f aca="false">IF(OR(H37="",H37=0),"",J37/(H37*'Supuestos y fuentes'!$B$5)-1)</f>
        <v>-0.0300679511083433</v>
      </c>
      <c r="N37" s="5" t="n">
        <f aca="false">IF(OR(K37="",K37=0),"",J37/K37-1)</f>
        <v>0</v>
      </c>
      <c r="O37" s="2" t="str">
        <f aca="false">IF(OR(H37="",H37=0),"Nuevo",IF(M37&lt;=-0.995,"Desaparece",IF(M37&lt;-'Supuestos y fuentes'!$B$6,"Baja",IF(M37&gt;'Supuestos y fuentes'!$B$6,"Sube","Se mantiene"))))</f>
        <v>Baja</v>
      </c>
      <c r="P37" s="2" t="s">
        <v>23</v>
      </c>
      <c r="Q37" s="2" t="s">
        <v>24</v>
      </c>
      <c r="R37" s="3"/>
    </row>
    <row r="38" customFormat="false" ht="15" hidden="false" customHeight="false" outlineLevel="0" collapsed="false">
      <c r="A38" s="2" t="n">
        <v>37</v>
      </c>
      <c r="B38" s="2" t="s">
        <v>125</v>
      </c>
      <c r="C38" s="2" t="s">
        <v>125</v>
      </c>
      <c r="D38" s="3" t="s">
        <v>145</v>
      </c>
      <c r="E38" s="2" t="s">
        <v>127</v>
      </c>
      <c r="F38" s="3" t="s">
        <v>146</v>
      </c>
      <c r="G38" s="2" t="s">
        <v>147</v>
      </c>
      <c r="H38" s="4" t="n">
        <v>67006269</v>
      </c>
      <c r="I38" s="4" t="n">
        <v>67006269</v>
      </c>
      <c r="J38" s="4" t="n">
        <v>65469692</v>
      </c>
      <c r="K38" s="4" t="n">
        <v>68936049</v>
      </c>
      <c r="L38" s="5" t="n">
        <f aca="false">IF(OR(H38="",H38=0),"",J38/H38-1)</f>
        <v>-0.0229318394074441</v>
      </c>
      <c r="M38" s="5" t="n">
        <f aca="false">IF(OR(H38="",H38=0),"",J38/(H38*'Supuestos y fuentes'!$B$5)-1)</f>
        <v>-0.0502836697195218</v>
      </c>
      <c r="N38" s="5" t="n">
        <f aca="false">IF(OR(K38="",K38=0),"",J38/K38-1)</f>
        <v>-0.0502836621808714</v>
      </c>
      <c r="O38" s="2" t="str">
        <f aca="false">IF(OR(H38="",H38=0),"Nuevo",IF(M38&lt;=-0.995,"Desaparece",IF(M38&lt;-'Supuestos y fuentes'!$B$6,"Baja",IF(M38&gt;'Supuestos y fuentes'!$B$6,"Sube","Se mantiene"))))</f>
        <v>Baja</v>
      </c>
      <c r="P38" s="2" t="s">
        <v>23</v>
      </c>
      <c r="Q38" s="2" t="s">
        <v>24</v>
      </c>
      <c r="R38" s="3"/>
    </row>
    <row r="39" customFormat="false" ht="15" hidden="false" customHeight="false" outlineLevel="0" collapsed="false">
      <c r="A39" s="2" t="n">
        <v>38</v>
      </c>
      <c r="B39" s="2" t="s">
        <v>125</v>
      </c>
      <c r="C39" s="2" t="s">
        <v>125</v>
      </c>
      <c r="D39" s="3" t="s">
        <v>148</v>
      </c>
      <c r="E39" s="2" t="s">
        <v>127</v>
      </c>
      <c r="F39" s="3" t="s">
        <v>149</v>
      </c>
      <c r="G39" s="2" t="s">
        <v>150</v>
      </c>
      <c r="H39" s="4" t="n">
        <v>23717921</v>
      </c>
      <c r="I39" s="4" t="n">
        <v>22407155</v>
      </c>
      <c r="J39" s="4" t="n">
        <v>21810871</v>
      </c>
      <c r="K39" s="4" t="n">
        <v>23052481</v>
      </c>
      <c r="L39" s="5" t="n">
        <f aca="false">IF(OR(H39="",H39=0),"",J39/H39-1)</f>
        <v>-0.0804054453170664</v>
      </c>
      <c r="M39" s="5" t="n">
        <f aca="false">IF(OR(H39="",H39=0),"",J39/(H39*'Supuestos y fuentes'!$B$5)-1)</f>
        <v>-0.106148372197771</v>
      </c>
      <c r="N39" s="5" t="n">
        <f aca="false">IF(OR(K39="",K39=0),"",J39/K39-1)</f>
        <v>-0.0538601463330563</v>
      </c>
      <c r="O39" s="2" t="str">
        <f aca="false">IF(OR(H39="",H39=0),"Nuevo",IF(M39&lt;=-0.995,"Desaparece",IF(M39&lt;-'Supuestos y fuentes'!$B$6,"Baja",IF(M39&gt;'Supuestos y fuentes'!$B$6,"Sube","Se mantiene"))))</f>
        <v>Baja</v>
      </c>
      <c r="P39" s="2" t="s">
        <v>23</v>
      </c>
      <c r="Q39" s="2" t="s">
        <v>24</v>
      </c>
      <c r="R39" s="3"/>
    </row>
    <row r="40" customFormat="false" ht="23.85" hidden="false" customHeight="false" outlineLevel="0" collapsed="false">
      <c r="A40" s="2" t="n">
        <v>39</v>
      </c>
      <c r="B40" s="2" t="s">
        <v>125</v>
      </c>
      <c r="C40" s="2" t="s">
        <v>125</v>
      </c>
      <c r="D40" s="3" t="s">
        <v>151</v>
      </c>
      <c r="E40" s="2" t="s">
        <v>127</v>
      </c>
      <c r="F40" s="3" t="s">
        <v>152</v>
      </c>
      <c r="G40" s="2" t="s">
        <v>153</v>
      </c>
      <c r="H40" s="4" t="n">
        <v>14832351</v>
      </c>
      <c r="I40" s="4" t="n">
        <v>14832351</v>
      </c>
      <c r="J40" s="4" t="n">
        <v>14191355</v>
      </c>
      <c r="K40" s="4" t="n">
        <v>15259523</v>
      </c>
      <c r="L40" s="5" t="n">
        <f aca="false">IF(OR(H40="",H40=0),"",J40/H40-1)</f>
        <v>-0.0432160754556038</v>
      </c>
      <c r="M40" s="5" t="n">
        <f aca="false">IF(OR(H40="",H40=0),"",J40/(H40*'Supuestos y fuentes'!$B$5)-1)</f>
        <v>-0.0700000733433163</v>
      </c>
      <c r="N40" s="5" t="n">
        <f aca="false">IF(OR(K40="",K40=0),"",J40/K40-1)</f>
        <v>-0.0700000910906586</v>
      </c>
      <c r="O40" s="2" t="str">
        <f aca="false">IF(OR(H40="",H40=0),"Nuevo",IF(M40&lt;=-0.995,"Desaparece",IF(M40&lt;-'Supuestos y fuentes'!$B$6,"Baja",IF(M40&gt;'Supuestos y fuentes'!$B$6,"Sube","Se mantiene"))))</f>
        <v>Baja</v>
      </c>
      <c r="P40" s="2" t="s">
        <v>23</v>
      </c>
      <c r="Q40" s="2" t="s">
        <v>24</v>
      </c>
      <c r="R40" s="3" t="s">
        <v>154</v>
      </c>
    </row>
    <row r="41" customFormat="false" ht="15" hidden="false" customHeight="false" outlineLevel="0" collapsed="false">
      <c r="A41" s="2" t="n">
        <v>40</v>
      </c>
      <c r="B41" s="2" t="s">
        <v>125</v>
      </c>
      <c r="C41" s="2" t="s">
        <v>125</v>
      </c>
      <c r="D41" s="3" t="s">
        <v>155</v>
      </c>
      <c r="E41" s="2" t="s">
        <v>127</v>
      </c>
      <c r="F41" s="3" t="s">
        <v>156</v>
      </c>
      <c r="G41" s="2" t="s">
        <v>157</v>
      </c>
      <c r="H41" s="4" t="n">
        <v>15526660</v>
      </c>
      <c r="I41" s="4" t="n">
        <v>13338928</v>
      </c>
      <c r="J41" s="4" t="n">
        <v>2921656</v>
      </c>
      <c r="K41" s="4" t="n">
        <v>13723089</v>
      </c>
      <c r="L41" s="5" t="n">
        <f aca="false">IF(OR(H41="",H41=0),"",J41/H41-1)</f>
        <v>-0.811829717402197</v>
      </c>
      <c r="M41" s="5" t="n">
        <f aca="false">IF(OR(H41="",H41=0),"",J41/(H41*'Supuestos y fuentes'!$B$5)-1)</f>
        <v>-0.81709731473775</v>
      </c>
      <c r="N41" s="5" t="n">
        <f aca="false">IF(OR(K41="",K41=0),"",J41/K41-1)</f>
        <v>-0.787099245658175</v>
      </c>
      <c r="O41" s="2" t="str">
        <f aca="false">IF(OR(H41="",H41=0),"Nuevo",IF(M41&lt;=-0.995,"Desaparece",IF(M41&lt;-'Supuestos y fuentes'!$B$6,"Baja",IF(M41&gt;'Supuestos y fuentes'!$B$6,"Sube","Se mantiene"))))</f>
        <v>Baja</v>
      </c>
      <c r="P41" s="2" t="s">
        <v>23</v>
      </c>
      <c r="Q41" s="2" t="s">
        <v>24</v>
      </c>
      <c r="R41" s="3"/>
    </row>
    <row r="42" customFormat="false" ht="15" hidden="false" customHeight="false" outlineLevel="0" collapsed="false">
      <c r="A42" s="2" t="n">
        <v>41</v>
      </c>
      <c r="B42" s="2" t="s">
        <v>125</v>
      </c>
      <c r="C42" s="2" t="s">
        <v>125</v>
      </c>
      <c r="D42" s="3" t="s">
        <v>158</v>
      </c>
      <c r="E42" s="2" t="s">
        <v>127</v>
      </c>
      <c r="F42" s="3" t="s">
        <v>159</v>
      </c>
      <c r="G42" s="2" t="s">
        <v>160</v>
      </c>
      <c r="H42" s="4" t="n">
        <v>5069449</v>
      </c>
      <c r="I42" s="4" t="n">
        <v>4141188</v>
      </c>
      <c r="J42" s="4" t="n">
        <v>2646057</v>
      </c>
      <c r="K42" s="4" t="n">
        <v>4260453</v>
      </c>
      <c r="L42" s="5" t="n">
        <f aca="false">IF(OR(H42="",H42=0),"",J42/H42-1)</f>
        <v>-0.478038540283175</v>
      </c>
      <c r="M42" s="5" t="n">
        <f aca="false">IF(OR(H42="",H42=0),"",J42/(H42*'Supuestos y fuentes'!$B$5)-1)</f>
        <v>-0.492650214116616</v>
      </c>
      <c r="N42" s="5" t="n">
        <f aca="false">IF(OR(K42="",K42=0),"",J42/K42-1)</f>
        <v>-0.378925902949757</v>
      </c>
      <c r="O42" s="2" t="str">
        <f aca="false">IF(OR(H42="",H42=0),"Nuevo",IF(M42&lt;=-0.995,"Desaparece",IF(M42&lt;-'Supuestos y fuentes'!$B$6,"Baja",IF(M42&gt;'Supuestos y fuentes'!$B$6,"Sube","Se mantiene"))))</f>
        <v>Baja</v>
      </c>
      <c r="P42" s="2" t="s">
        <v>23</v>
      </c>
      <c r="Q42" s="2" t="s">
        <v>24</v>
      </c>
      <c r="R42" s="3"/>
    </row>
    <row r="43" customFormat="false" ht="23.85" hidden="false" customHeight="false" outlineLevel="0" collapsed="false">
      <c r="A43" s="2" t="n">
        <v>42</v>
      </c>
      <c r="B43" s="2" t="s">
        <v>125</v>
      </c>
      <c r="C43" s="2" t="s">
        <v>125</v>
      </c>
      <c r="D43" s="3" t="s">
        <v>161</v>
      </c>
      <c r="E43" s="2" t="s">
        <v>127</v>
      </c>
      <c r="F43" s="3" t="s">
        <v>162</v>
      </c>
      <c r="G43" s="2" t="s">
        <v>163</v>
      </c>
      <c r="H43" s="4" t="n">
        <v>15580548</v>
      </c>
      <c r="I43" s="4" t="n">
        <v>14935742</v>
      </c>
      <c r="J43" s="4" t="n">
        <v>14956355</v>
      </c>
      <c r="K43" s="4" t="n">
        <v>15365891</v>
      </c>
      <c r="L43" s="5" t="n">
        <f aca="false">IF(OR(H43="",H43=0),"",J43/H43-1)</f>
        <v>-0.0400623264342178</v>
      </c>
      <c r="M43" s="5" t="n">
        <f aca="false">IF(OR(H43="",H43=0),"",J43/(H43*'Supuestos y fuentes'!$B$5)-1)</f>
        <v>-0.0669346096755616</v>
      </c>
      <c r="N43" s="5" t="n">
        <f aca="false">IF(OR(K43="",K43=0),"",J43/K43-1)</f>
        <v>-0.0266522780878766</v>
      </c>
      <c r="O43" s="2" t="str">
        <f aca="false">IF(OR(H43="",H43=0),"Nuevo",IF(M43&lt;=-0.995,"Desaparece",IF(M43&lt;-'Supuestos y fuentes'!$B$6,"Baja",IF(M43&gt;'Supuestos y fuentes'!$B$6,"Sube","Se mantiene"))))</f>
        <v>Baja</v>
      </c>
      <c r="P43" s="2" t="s">
        <v>23</v>
      </c>
      <c r="Q43" s="2" t="s">
        <v>24</v>
      </c>
      <c r="R43" s="3"/>
    </row>
    <row r="44" customFormat="false" ht="23.85" hidden="false" customHeight="false" outlineLevel="0" collapsed="false">
      <c r="A44" s="2" t="n">
        <v>43</v>
      </c>
      <c r="B44" s="2" t="s">
        <v>125</v>
      </c>
      <c r="C44" s="2" t="s">
        <v>125</v>
      </c>
      <c r="D44" s="3" t="s">
        <v>164</v>
      </c>
      <c r="E44" s="2" t="s">
        <v>127</v>
      </c>
      <c r="F44" s="3" t="s">
        <v>165</v>
      </c>
      <c r="G44" s="2" t="s">
        <v>166</v>
      </c>
      <c r="H44" s="4" t="n">
        <v>11804950</v>
      </c>
      <c r="I44" s="4" t="n">
        <v>11804950</v>
      </c>
      <c r="J44" s="4" t="n">
        <v>8272630</v>
      </c>
      <c r="K44" s="4" t="n">
        <v>12144933</v>
      </c>
      <c r="L44" s="5" t="n">
        <f aca="false">IF(OR(H44="",H44=0),"",J44/H44-1)</f>
        <v>-0.29922363076506</v>
      </c>
      <c r="M44" s="5" t="n">
        <f aca="false">IF(OR(H44="",H44=0),"",J44/(H44*'Supuestos y fuentes'!$B$5)-1)</f>
        <v>-0.318841009686101</v>
      </c>
      <c r="N44" s="5" t="n">
        <f aca="false">IF(OR(K44="",K44=0),"",J44/K44-1)</f>
        <v>-0.318841034363878</v>
      </c>
      <c r="O44" s="2" t="str">
        <f aca="false">IF(OR(H44="",H44=0),"Nuevo",IF(M44&lt;=-0.995,"Desaparece",IF(M44&lt;-'Supuestos y fuentes'!$B$6,"Baja",IF(M44&gt;'Supuestos y fuentes'!$B$6,"Sube","Se mantiene"))))</f>
        <v>Baja</v>
      </c>
      <c r="P44" s="2" t="s">
        <v>23</v>
      </c>
      <c r="Q44" s="2" t="s">
        <v>24</v>
      </c>
      <c r="R44" s="3"/>
    </row>
    <row r="45" customFormat="false" ht="23.85" hidden="false" customHeight="false" outlineLevel="0" collapsed="false">
      <c r="A45" s="2" t="n">
        <v>44</v>
      </c>
      <c r="B45" s="2" t="s">
        <v>125</v>
      </c>
      <c r="C45" s="2" t="s">
        <v>125</v>
      </c>
      <c r="D45" s="3" t="s">
        <v>167</v>
      </c>
      <c r="E45" s="2" t="s">
        <v>127</v>
      </c>
      <c r="F45" s="3" t="s">
        <v>168</v>
      </c>
      <c r="G45" s="2" t="s">
        <v>169</v>
      </c>
      <c r="H45" s="4" t="n">
        <v>8945717</v>
      </c>
      <c r="I45" s="4" t="n">
        <v>5346543</v>
      </c>
      <c r="J45" s="4" t="n">
        <v>2748147</v>
      </c>
      <c r="K45" s="4" t="n">
        <v>5500524</v>
      </c>
      <c r="L45" s="5" t="n">
        <f aca="false">IF(OR(H45="",H45=0),"",J45/H45-1)</f>
        <v>-0.692797458269695</v>
      </c>
      <c r="M45" s="5" t="n">
        <f aca="false">IF(OR(H45="",H45=0),"",J45/(H45*'Supuestos y fuentes'!$B$5)-1)</f>
        <v>-0.701397218380341</v>
      </c>
      <c r="N45" s="5" t="n">
        <f aca="false">IF(OR(K45="",K45=0),"",J45/K45-1)</f>
        <v>-0.500384508821341</v>
      </c>
      <c r="O45" s="2" t="str">
        <f aca="false">IF(OR(H45="",H45=0),"Nuevo",IF(M45&lt;=-0.995,"Desaparece",IF(M45&lt;-'Supuestos y fuentes'!$B$6,"Baja",IF(M45&gt;'Supuestos y fuentes'!$B$6,"Sube","Se mantiene"))))</f>
        <v>Baja</v>
      </c>
      <c r="P45" s="2" t="s">
        <v>23</v>
      </c>
      <c r="Q45" s="2" t="s">
        <v>24</v>
      </c>
      <c r="R45" s="3"/>
    </row>
    <row r="46" customFormat="false" ht="15" hidden="false" customHeight="false" outlineLevel="0" collapsed="false">
      <c r="A46" s="2" t="n">
        <v>45</v>
      </c>
      <c r="B46" s="2" t="s">
        <v>125</v>
      </c>
      <c r="C46" s="2" t="s">
        <v>125</v>
      </c>
      <c r="D46" s="3" t="s">
        <v>170</v>
      </c>
      <c r="E46" s="2" t="s">
        <v>127</v>
      </c>
      <c r="F46" s="3" t="s">
        <v>171</v>
      </c>
      <c r="G46" s="2" t="s">
        <v>172</v>
      </c>
      <c r="H46" s="4" t="n">
        <v>9366820</v>
      </c>
      <c r="I46" s="4" t="n">
        <v>8877280</v>
      </c>
      <c r="J46" s="4" t="n">
        <v>10728176</v>
      </c>
      <c r="K46" s="4" t="n">
        <v>9132946</v>
      </c>
      <c r="L46" s="5" t="n">
        <f aca="false">IF(OR(H46="",H46=0),"",J46/H46-1)</f>
        <v>0.145338119020116</v>
      </c>
      <c r="M46" s="5" t="n">
        <f aca="false">IF(OR(H46="",H46=0),"",J46/(H46*'Supuestos y fuentes'!$B$5)-1)</f>
        <v>0.113275776652523</v>
      </c>
      <c r="N46" s="5" t="n">
        <f aca="false">IF(OR(K46="",K46=0),"",J46/K46-1)</f>
        <v>0.174667626415398</v>
      </c>
      <c r="O46" s="2" t="str">
        <f aca="false">IF(OR(H46="",H46=0),"Nuevo",IF(M46&lt;=-0.995,"Desaparece",IF(M46&lt;-'Supuestos y fuentes'!$B$6,"Baja",IF(M46&gt;'Supuestos y fuentes'!$B$6,"Sube","Se mantiene"))))</f>
        <v>Sube</v>
      </c>
      <c r="P46" s="2" t="s">
        <v>23</v>
      </c>
      <c r="Q46" s="2" t="s">
        <v>24</v>
      </c>
      <c r="R46" s="3"/>
    </row>
    <row r="47" customFormat="false" ht="15" hidden="false" customHeight="false" outlineLevel="0" collapsed="false">
      <c r="A47" s="2" t="n">
        <v>46</v>
      </c>
      <c r="B47" s="2" t="s">
        <v>125</v>
      </c>
      <c r="C47" s="2" t="s">
        <v>125</v>
      </c>
      <c r="D47" s="3" t="s">
        <v>173</v>
      </c>
      <c r="E47" s="2" t="s">
        <v>127</v>
      </c>
      <c r="F47" s="3" t="s">
        <v>174</v>
      </c>
      <c r="G47" s="2" t="s">
        <v>175</v>
      </c>
      <c r="H47" s="4" t="n">
        <v>3519437</v>
      </c>
      <c r="I47" s="4" t="n">
        <v>3413615</v>
      </c>
      <c r="J47" s="4" t="n">
        <v>1234560</v>
      </c>
      <c r="K47" s="4" t="n">
        <v>3511928</v>
      </c>
      <c r="L47" s="5" t="n">
        <f aca="false">IF(OR(H47="",H47=0),"",J47/H47-1)</f>
        <v>-0.649216621863099</v>
      </c>
      <c r="M47" s="5" t="n">
        <f aca="false">IF(OR(H47="",H47=0),"",J47/(H47*'Supuestos y fuentes'!$B$5)-1)</f>
        <v>-0.659036374283728</v>
      </c>
      <c r="N47" s="5" t="n">
        <f aca="false">IF(OR(K47="",K47=0),"",J47/K47-1)</f>
        <v>-0.648466597265092</v>
      </c>
      <c r="O47" s="2" t="str">
        <f aca="false">IF(OR(H47="",H47=0),"Nuevo",IF(M47&lt;=-0.995,"Desaparece",IF(M47&lt;-'Supuestos y fuentes'!$B$6,"Baja",IF(M47&gt;'Supuestos y fuentes'!$B$6,"Sube","Se mantiene"))))</f>
        <v>Baja</v>
      </c>
      <c r="P47" s="2" t="s">
        <v>23</v>
      </c>
      <c r="Q47" s="2" t="s">
        <v>24</v>
      </c>
      <c r="R47" s="3"/>
    </row>
    <row r="48" customFormat="false" ht="15" hidden="false" customHeight="false" outlineLevel="0" collapsed="false">
      <c r="A48" s="2" t="n">
        <v>47</v>
      </c>
      <c r="B48" s="2" t="s">
        <v>125</v>
      </c>
      <c r="C48" s="2" t="s">
        <v>125</v>
      </c>
      <c r="D48" s="3" t="s">
        <v>176</v>
      </c>
      <c r="E48" s="2" t="s">
        <v>127</v>
      </c>
      <c r="F48" s="3" t="s">
        <v>177</v>
      </c>
      <c r="G48" s="2" t="s">
        <v>178</v>
      </c>
      <c r="H48" s="4" t="n">
        <v>13618933</v>
      </c>
      <c r="I48" s="4" t="n">
        <v>12847263</v>
      </c>
      <c r="J48" s="4" t="n">
        <v>12177905</v>
      </c>
      <c r="K48" s="4" t="n">
        <v>13217265</v>
      </c>
      <c r="L48" s="5" t="n">
        <f aca="false">IF(OR(H48="",H48=0),"",J48/H48-1)</f>
        <v>-0.105810638762963</v>
      </c>
      <c r="M48" s="5" t="n">
        <f aca="false">IF(OR(H48="",H48=0),"",J48/(H48*'Supuestos y fuentes'!$B$5)-1)</f>
        <v>-0.130842378268821</v>
      </c>
      <c r="N48" s="5" t="n">
        <f aca="false">IF(OR(K48="",K48=0),"",J48/K48-1)</f>
        <v>-0.0786365409182611</v>
      </c>
      <c r="O48" s="2" t="str">
        <f aca="false">IF(OR(H48="",H48=0),"Nuevo",IF(M48&lt;=-0.995,"Desaparece",IF(M48&lt;-'Supuestos y fuentes'!$B$6,"Baja",IF(M48&gt;'Supuestos y fuentes'!$B$6,"Sube","Se mantiene"))))</f>
        <v>Baja</v>
      </c>
      <c r="P48" s="2" t="s">
        <v>23</v>
      </c>
      <c r="Q48" s="2" t="s">
        <v>24</v>
      </c>
      <c r="R48" s="3"/>
    </row>
    <row r="49" customFormat="false" ht="15" hidden="false" customHeight="false" outlineLevel="0" collapsed="false">
      <c r="A49" s="2" t="n">
        <v>48</v>
      </c>
      <c r="B49" s="2" t="s">
        <v>125</v>
      </c>
      <c r="C49" s="2" t="s">
        <v>125</v>
      </c>
      <c r="D49" s="3" t="s">
        <v>179</v>
      </c>
      <c r="E49" s="2" t="s">
        <v>127</v>
      </c>
      <c r="F49" s="3" t="s">
        <v>180</v>
      </c>
      <c r="G49" s="2" t="s">
        <v>181</v>
      </c>
      <c r="H49" s="4" t="n">
        <v>4105652</v>
      </c>
      <c r="I49" s="4" t="n">
        <v>3983748</v>
      </c>
      <c r="J49" s="4" t="n">
        <v>4787372</v>
      </c>
      <c r="K49" s="4" t="n">
        <v>4098479</v>
      </c>
      <c r="L49" s="5" t="n">
        <f aca="false">IF(OR(H49="",H49=0),"",J49/H49-1)</f>
        <v>0.1660442726271</v>
      </c>
      <c r="M49" s="5" t="n">
        <f aca="false">IF(OR(H49="",H49=0),"",J49/(H49*'Supuestos y fuentes'!$B$5)-1)</f>
        <v>0.133402286768177</v>
      </c>
      <c r="N49" s="5" t="n">
        <f aca="false">IF(OR(K49="",K49=0),"",J49/K49-1)</f>
        <v>0.168085038376432</v>
      </c>
      <c r="O49" s="2" t="str">
        <f aca="false">IF(OR(H49="",H49=0),"Nuevo",IF(M49&lt;=-0.995,"Desaparece",IF(M49&lt;-'Supuestos y fuentes'!$B$6,"Baja",IF(M49&gt;'Supuestos y fuentes'!$B$6,"Sube","Se mantiene"))))</f>
        <v>Sube</v>
      </c>
      <c r="P49" s="2" t="s">
        <v>23</v>
      </c>
      <c r="Q49" s="2" t="s">
        <v>24</v>
      </c>
      <c r="R49" s="3"/>
    </row>
    <row r="50" customFormat="false" ht="15" hidden="false" customHeight="false" outlineLevel="0" collapsed="false">
      <c r="D50" s="6"/>
      <c r="F50" s="6"/>
      <c r="R50" s="6"/>
    </row>
    <row r="51" customFormat="false" ht="15" hidden="false" customHeight="false" outlineLevel="0" collapsed="false">
      <c r="D51" s="7" t="s">
        <v>182</v>
      </c>
      <c r="F51" s="6"/>
      <c r="R51" s="6"/>
    </row>
    <row r="52" customFormat="false" ht="15" hidden="false" customHeight="false" outlineLevel="0" collapsed="false">
      <c r="A52" s="8"/>
      <c r="B52" s="8" t="s">
        <v>18</v>
      </c>
      <c r="C52" s="8" t="s">
        <v>18</v>
      </c>
      <c r="D52" s="9" t="s">
        <v>183</v>
      </c>
      <c r="E52" s="8" t="s">
        <v>20</v>
      </c>
      <c r="F52" s="9" t="s">
        <v>184</v>
      </c>
      <c r="G52" s="8" t="s">
        <v>185</v>
      </c>
      <c r="H52" s="10" t="n">
        <v>13537053</v>
      </c>
      <c r="I52" s="10" t="n">
        <v>14537053</v>
      </c>
      <c r="J52" s="10" t="n">
        <v>12030542</v>
      </c>
      <c r="K52" s="10"/>
      <c r="L52" s="11" t="n">
        <f aca="false">IF(OR(H52="",H52=0),"",J52/H52-1)</f>
        <v>-0.111287959055786</v>
      </c>
      <c r="M52" s="11" t="n">
        <f aca="false">IF(OR(H52="",H52=0),"",J52/(H52*'Supuestos y fuentes'!$B$5)-1)</f>
        <v>-0.136166367666977</v>
      </c>
      <c r="N52" s="11" t="str">
        <f aca="false">IF(OR(K52="",K52=0),"",J52/K52-1)</f>
        <v/>
      </c>
      <c r="O52" s="8" t="str">
        <f aca="false">IF(OR(H52="",H52=0),"Nuevo",IF(M52&lt;=-0.995,"Desaparece",IF(M52&lt;-'Supuestos y fuentes'!$B$6,"Baja",IF(M52&gt;'Supuestos y fuentes'!$B$6,"Sube","Se mantiene"))))</f>
        <v>Baja</v>
      </c>
      <c r="P52" s="12" t="s">
        <v>24</v>
      </c>
      <c r="Q52" s="12" t="s">
        <v>24</v>
      </c>
      <c r="R52" s="13" t="s">
        <v>186</v>
      </c>
    </row>
    <row r="53" customFormat="false" ht="23.85" hidden="false" customHeight="false" outlineLevel="0" collapsed="false">
      <c r="A53" s="12"/>
      <c r="B53" s="12" t="s">
        <v>18</v>
      </c>
      <c r="C53" s="12" t="s">
        <v>18</v>
      </c>
      <c r="D53" s="13" t="s">
        <v>187</v>
      </c>
      <c r="E53" s="12" t="s">
        <v>20</v>
      </c>
      <c r="F53" s="13" t="s">
        <v>184</v>
      </c>
      <c r="G53" s="12" t="s">
        <v>22</v>
      </c>
      <c r="H53" s="14" t="n">
        <v>9492890</v>
      </c>
      <c r="I53" s="14"/>
      <c r="J53" s="14" t="n">
        <v>7869907</v>
      </c>
      <c r="K53" s="14"/>
      <c r="L53" s="15" t="n">
        <f aca="false">IF(OR(H53="",H53=0),"",J53/H53-1)</f>
        <v>-0.170968272043603</v>
      </c>
      <c r="M53" s="15" t="n">
        <f aca="false">IF(OR(H53="",H53=0),"",J53/(H53*'Supuestos y fuentes'!$B$5)-1)</f>
        <v>-0.194176003152802</v>
      </c>
      <c r="N53" s="15" t="str">
        <f aca="false">IF(OR(K53="",K53=0),"",J53/K53-1)</f>
        <v/>
      </c>
      <c r="O53" s="12" t="str">
        <f aca="false">IF(OR(H53="",H53=0),"Nuevo",IF(M53&lt;=-0.995,"Desaparece",IF(M53&lt;-'Supuestos y fuentes'!$B$6,"Baja",IF(M53&gt;'Supuestos y fuentes'!$B$6,"Sube","Se mantiene"))))</f>
        <v>Baja</v>
      </c>
      <c r="P53" s="12" t="s">
        <v>24</v>
      </c>
      <c r="Q53" s="12" t="s">
        <v>24</v>
      </c>
      <c r="R53" s="13" t="s">
        <v>188</v>
      </c>
    </row>
  </sheetData>
  <autoFilter ref="A1:R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6" t="s">
        <v>1</v>
      </c>
      <c r="B1" s="16" t="s">
        <v>7</v>
      </c>
      <c r="C1" s="16" t="s">
        <v>9</v>
      </c>
      <c r="D1" s="16" t="s">
        <v>11</v>
      </c>
      <c r="E1" s="16" t="s">
        <v>12</v>
      </c>
    </row>
    <row r="2" customFormat="false" ht="15" hidden="false" customHeight="false" outlineLevel="0" collapsed="false">
      <c r="A2" s="2" t="s">
        <v>189</v>
      </c>
      <c r="B2" s="17" t="n">
        <f aca="false">SUMIFS(Líneas!$H$2:$H$49,Líneas!$B$2:$B$49,"Directo",Líneas!$P$2:$P$49,"Sí")-SUMIFS(Líneas!$H$2:$H$49,Líneas!$B$2:$B$49,"Directo",Líneas!$P$2:$P$49,"Sí",Líneas!$Q$2:$Q$49,"Sí")</f>
        <v>44257722</v>
      </c>
      <c r="C2" s="17" t="n">
        <f aca="false">SUMIFS(Líneas!$J$2:$J$49,Líneas!$B$2:$B$49,"Directo",Líneas!$P$2:$P$49,"Sí")</f>
        <v>41408512</v>
      </c>
      <c r="D2" s="5" t="n">
        <f aca="false">C2/B2-1</f>
        <v>-0.0643776921008271</v>
      </c>
      <c r="E2" s="5" t="n">
        <f aca="false">C2/(B2*'Supuestos y fuentes'!$B$5)-1</f>
        <v>-0.0905692963655005</v>
      </c>
    </row>
    <row r="3" customFormat="false" ht="15" hidden="false" customHeight="false" outlineLevel="0" collapsed="false">
      <c r="A3" s="2" t="s">
        <v>190</v>
      </c>
      <c r="B3" s="17" t="n">
        <f aca="false">SUMIFS(Líneas!$H$2:$H$49,Líneas!$B$2:$B$49,"Institucional",Líneas!$P$2:$P$49,"Sí")-SUMIFS(Líneas!$H$2:$H$49,Líneas!$B$2:$B$49,"Institucional",Líneas!$P$2:$P$49,"Sí",Líneas!$Q$2:$Q$49,"Sí")</f>
        <v>2182755312</v>
      </c>
      <c r="C3" s="17" t="n">
        <f aca="false">SUMIFS(Líneas!$J$2:$J$49,Líneas!$B$2:$B$49,"Institucional",Líneas!$P$2:$P$49,"Sí")</f>
        <v>2174331926</v>
      </c>
      <c r="D3" s="5" t="n">
        <f aca="false">C3/B3-1</f>
        <v>-0.0038590610471505</v>
      </c>
      <c r="E3" s="5" t="n">
        <f aca="false">C3/(B3*'Supuestos y fuentes'!$B$5)-1</f>
        <v>-0.0317448105046175</v>
      </c>
    </row>
    <row r="4" customFormat="false" ht="15" hidden="false" customHeight="false" outlineLevel="0" collapsed="false">
      <c r="A4" s="2" t="s">
        <v>191</v>
      </c>
      <c r="B4" s="17" t="n">
        <f aca="false">SUMIFS(Líneas!$H$2:$H$49,Líneas!$B$2:$B$49,"Estudiantes",Líneas!$P$2:$P$49,"Sí")-SUMIFS(Líneas!$H$2:$H$49,Líneas!$B$2:$B$49,"Estudiantes",Líneas!$P$2:$P$49,"Sí",Líneas!$Q$2:$Q$49,"Sí")</f>
        <v>816537014</v>
      </c>
      <c r="C4" s="17" t="n">
        <f aca="false">SUMIFS(Líneas!$J$2:$J$49,Líneas!$B$2:$B$49,"Estudiantes",Líneas!$P$2:$P$49,"Sí")</f>
        <v>839807260</v>
      </c>
      <c r="D4" s="5" t="n">
        <f aca="false">C4/B4-1</f>
        <v>0.028498703183099</v>
      </c>
      <c r="E4" s="5" t="n">
        <f aca="false">C4/(B4*'Supuestos y fuentes'!$B$5)-1</f>
        <v>-0.00029286238034687</v>
      </c>
    </row>
    <row r="5" customFormat="false" ht="15" hidden="false" customHeight="false" outlineLevel="0" collapsed="false">
      <c r="A5" s="2" t="s">
        <v>192</v>
      </c>
      <c r="B5" s="17" t="n">
        <f aca="false">SUMIFS(Líneas!$H$2:$H$49,Líneas!$B$2:$B$49,"Investigación",Líneas!$P$2:$P$49,"Sí")-SUMIFS(Líneas!$H$2:$H$49,Líneas!$B$2:$B$49,"Investigación",Líneas!$P$2:$P$49,"Sí",Líneas!$Q$2:$Q$49,"Sí")</f>
        <v>502147362</v>
      </c>
      <c r="C5" s="17" t="n">
        <f aca="false">SUMIFS(Líneas!$J$2:$J$49,Líneas!$B$2:$B$49,"Investigación",Líneas!$P$2:$P$49,"Sí")</f>
        <v>463420693</v>
      </c>
      <c r="D5" s="5" t="n">
        <f aca="false">C5/B5-1</f>
        <v>-0.0771221197812446</v>
      </c>
      <c r="E5" s="5" t="n">
        <f aca="false">C5/(B5*'Supuestos y fuentes'!$B$5)-1</f>
        <v>-0.10295695935191</v>
      </c>
    </row>
    <row r="6" customFormat="false" ht="15" hidden="false" customHeight="false" outlineLevel="0" collapsed="false">
      <c r="A6" s="2" t="s">
        <v>193</v>
      </c>
      <c r="B6" s="17" t="n">
        <f aca="false">B3-Líneas!H20</f>
        <v>377621560</v>
      </c>
      <c r="C6" s="17" t="n">
        <f aca="false">C3-Líneas!J20</f>
        <v>354959291</v>
      </c>
      <c r="D6" s="5" t="n">
        <f aca="false">C6/B6-1</f>
        <v>-0.060013175624824</v>
      </c>
      <c r="E6" s="5" t="n">
        <f aca="false">C6/(B6*'Supuestos y fuentes'!$B$5)-1</f>
        <v>-0.0863269591998677</v>
      </c>
    </row>
    <row r="8" customFormat="false" ht="15" hidden="false" customHeight="false" outlineLevel="0" collapsed="false">
      <c r="A8" s="1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9" t="s">
        <v>195</v>
      </c>
    </row>
    <row r="2" customFormat="false" ht="15" hidden="false" customHeight="false" outlineLevel="0" collapsed="false">
      <c r="A2" s="20" t="s">
        <v>196</v>
      </c>
    </row>
    <row r="4" customFormat="false" ht="15" hidden="false" customHeight="false" outlineLevel="0" collapsed="false">
      <c r="A4" s="16" t="s">
        <v>197</v>
      </c>
      <c r="B4" s="16" t="s">
        <v>198</v>
      </c>
      <c r="C4" s="16" t="s">
        <v>199</v>
      </c>
    </row>
    <row r="5" customFormat="false" ht="15" hidden="false" customHeight="false" outlineLevel="0" collapsed="false">
      <c r="A5" s="0" t="s">
        <v>200</v>
      </c>
      <c r="B5" s="21" t="n">
        <v>1.0288</v>
      </c>
      <c r="C5" s="22" t="s">
        <v>201</v>
      </c>
    </row>
    <row r="6" customFormat="false" ht="15" hidden="false" customHeight="false" outlineLevel="0" collapsed="false">
      <c r="A6" s="0" t="s">
        <v>202</v>
      </c>
      <c r="B6" s="23" t="n">
        <v>0.005</v>
      </c>
      <c r="C6" s="22" t="s">
        <v>203</v>
      </c>
    </row>
    <row r="8" customFormat="false" ht="15" hidden="false" customHeight="false" outlineLevel="0" collapsed="false">
      <c r="A8" s="24" t="s">
        <v>204</v>
      </c>
    </row>
    <row r="9" customFormat="false" ht="15" hidden="false" customHeight="false" outlineLevel="0" collapsed="false">
      <c r="A9" s="20" t="s">
        <v>205</v>
      </c>
    </row>
    <row r="10" customFormat="false" ht="15" hidden="false" customHeight="false" outlineLevel="0" collapsed="false">
      <c r="A10" s="20" t="s">
        <v>206</v>
      </c>
    </row>
    <row r="11" customFormat="false" ht="15" hidden="false" customHeight="false" outlineLevel="0" collapsed="false">
      <c r="A11" s="20" t="s">
        <v>207</v>
      </c>
    </row>
    <row r="12" customFormat="false" ht="15" hidden="false" customHeight="false" outlineLevel="0" collapsed="false">
      <c r="A12" s="20" t="s">
        <v>208</v>
      </c>
    </row>
    <row r="13" customFormat="false" ht="15" hidden="false" customHeight="false" outlineLevel="0" collapsed="false">
      <c r="A13" s="20" t="s">
        <v>209</v>
      </c>
    </row>
    <row r="14" customFormat="false" ht="15" hidden="false" customHeight="false" outlineLevel="0" collapsed="false">
      <c r="A14" s="20" t="s">
        <v>210</v>
      </c>
    </row>
    <row r="15" customFormat="false" ht="15" hidden="false" customHeight="false" outlineLevel="0" collapsed="false">
      <c r="A15" s="20" t="s">
        <v>211</v>
      </c>
    </row>
    <row r="16" customFormat="false" ht="15" hidden="false" customHeight="false" outlineLevel="0" collapsed="false">
      <c r="A16" s="20" t="s">
        <v>212</v>
      </c>
    </row>
    <row r="17" customFormat="false" ht="15" hidden="false" customHeight="false" outlineLevel="0" collapsed="false">
      <c r="A17" s="20" t="s">
        <v>213</v>
      </c>
    </row>
    <row r="19" customFormat="false" ht="15" hidden="false" customHeight="false" outlineLevel="0" collapsed="false">
      <c r="A19" s="24" t="s">
        <v>214</v>
      </c>
    </row>
    <row r="20" customFormat="false" ht="15" hidden="false" customHeight="false" outlineLevel="0" collapsed="false">
      <c r="A20" s="20" t="s">
        <v>215</v>
      </c>
      <c r="C20" s="25" t="s">
        <v>216</v>
      </c>
    </row>
    <row r="21" customFormat="false" ht="15" hidden="false" customHeight="false" outlineLevel="0" collapsed="false">
      <c r="A21" s="20" t="s">
        <v>217</v>
      </c>
      <c r="C21" s="25" t="s">
        <v>218</v>
      </c>
    </row>
    <row r="22" customFormat="false" ht="15" hidden="false" customHeight="false" outlineLevel="0" collapsed="false">
      <c r="A22" s="20" t="s">
        <v>219</v>
      </c>
      <c r="C22" s="25" t="s">
        <v>220</v>
      </c>
    </row>
  </sheetData>
  <hyperlinks>
    <hyperlink ref="C20" r:id="rId1" display="https://www.dipres.gob.cl/597/w3-multipropertyvalues-15199-37782.html"/>
    <hyperlink ref="C21" r:id="rId2" display="https://www.dipres.gob.cl/597/w3-multipropertyvalues-15168-38403.html"/>
    <hyperlink ref="C22" r:id="rId3" display="https://www.myriambarahona.cl/recortes-20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2026-10-07T16:40:59Z</dcterms:created>
  <dc:creator>openpyxl</dc:creator>
  <dc:description/>
  <dc:language>es-MX</dc:language>
  <cp:lastModifiedBy/>
  <dcterms:modified xsi:type="dcterms:W3CDTF">2026-10-07T16:40:59Z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